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Summary" sheetId="3" state="visible" r:id="rId5"/>
    <sheet name="Reference" sheetId="4" state="visible" r:id="rId6"/>
    <sheet name="Attenuation" sheetId="5" state="visible" r:id="rId7"/>
    <sheet name="Resul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<sst xmlns="http://schemas.openxmlformats.org/spreadsheetml/2006/main" count="493" uniqueCount="126">
  <si>
    <t xml:space="preserve">Acoustic sanity check (Verify first, item 1)</t>
  </si>
  <si>
    <t xml:space="preserve">Source: Handoff v2, outdoor party spot finder, 2026-10-12. Sound system filter: hardware class (typical playing level) x sound character.</t>
  </si>
  <si>
    <t xml:space="preserve">What it shows</t>
  </si>
  <si>
    <t xml:space="preserve">- Per class and character: octave-band level at 0.5, 1, 2, 3, 5 and 10 km (distances editable), spreading and air absorption only.</t>
  </si>
  <si>
    <t xml:space="preserve">- Whether the night target and the inaudible tier pass at those distances (Summary).</t>
  </si>
  <si>
    <t xml:space="preserve">- Rig-independent limits: the highest level at 1 m that still passes at each distance (Attenuation).</t>
  </si>
  <si>
    <t xml:space="preserve">How it is built</t>
  </si>
  <si>
    <t xml:space="preserve">- Class: a typical playing level, LAeq at a distance from the stack. Character: the spectrum shape. The character's bands are shifted so its dB(A) equals the class level.</t>
  </si>
  <si>
    <t xml:space="preserve">- Level at distance d = level at the class distance - 20 log10(d / class distance) - air absorption (dB/km) x (d - class distance).</t>
  </si>
  <si>
    <t xml:space="preserve">- Point source, free field, on axis. Air absorption per ISO 9613-1 at exact band centre frequencies.</t>
  </si>
  <si>
    <t xml:space="preserve">How to use</t>
  </si>
  <si>
    <t xml:space="preserve">1. Inputs: yellow cells hold the defaults; change any of them, or enter a measured level in the Custom row.</t>
  </si>
  <si>
    <t xml:space="preserve">2. Summary: green passes, red fails.</t>
  </si>
  <si>
    <t xml:space="preserve">3. Results: per-band detail per class and character. Attenuation and Reference: shared figures.</t>
  </si>
  <si>
    <t xml:space="preserve">Cell colours</t>
  </si>
  <si>
    <t xml:space="preserve">- Yellow fill: inputs to edit. Blue text: entered values and reference constants. Black: formulas. Green text: links to another sheet.</t>
  </si>
  <si>
    <t xml:space="preserve">Not included (each can raise or lower the level at a real receptor)</t>
  </si>
  <si>
    <t xml:space="preserve">- Ground effect, terrain and barrier screening, forest, rig directivity (cardioid subs, stage aiming), wind and inversion refraction, facade reflection, building insulation, background noise masking.</t>
  </si>
  <si>
    <t xml:space="preserve">Checks done (2026-10-12)</t>
  </si>
  <si>
    <t xml:space="preserve">- Air absorption at 10 C / 70 % matches ISO 9613-2 Table 2 (0.1, 0.4, 1.0, 1.9, 3.7, 9.7, 32.8, 117 dB/km, 63 Hz to 8 kHz) to the table's rounding [unverified: table values recalled, not read from the standard].</t>
  </si>
  <si>
    <t xml:space="preserve">- Character spectra: dB(A) and dB(C) recomputed from the bands match the source table within 0.5 dB, which confirms they are octave bands.</t>
  </si>
  <si>
    <t xml:space="preserve">- Every result cell matched an independent recalculation outside the workbook.</t>
  </si>
  <si>
    <t xml:space="preserve">- Handoff rough check: 128 dB at 1 m in the 63 Hz band gives 46.8 dB at 10 km (about 48 dB from spreading alone; air absorption takes 1.2 dB).</t>
  </si>
  <si>
    <t xml:space="preserve">Open items this sheet depends on</t>
  </si>
  <si>
    <t xml:space="preserve">- Class playing levels and distances [assumed]; replace with event measurements when available.</t>
  </si>
  <si>
    <t xml:space="preserve">- Night target: the NV 272/2011 limit (35 dB LAeq,1h) has not applied to outdoor music since Dec 2015; kept as a reference until the strictness tiers are redesigned.</t>
  </si>
  <si>
    <t xml:space="preserve">- Hearing threshold values [unverified: recalled ISO 226:2003 values, pure tones, free field; ISO 389-7:2019 is the current free-field threshold standard].</t>
  </si>
  <si>
    <t xml:space="preserve">- Weather for air absorption [assumed: 10 C, 70 % RH; affects mainly the bands from 1 kHz up].</t>
  </si>
  <si>
    <t xml:space="preserve">Sources</t>
  </si>
  <si>
    <t xml:space="preserve">- Fiumicelli et al., Low frequency sound at outdoor concerts: https://www.ioa.org.uk/system/files/publications/D%20FIUMICELLI%20V%20PARKER%20E%20LAWRENCE%20J%20STEWART%20LOW%20FREQUENCY%20SOUND%20AT%20OUTDOOR%20CONCERTS%20%E2%80%93%20A%20NECESSARY%20NOISE.pdf</t>
  </si>
  <si>
    <t xml:space="preserve">- Griffiths &amp; Staunton, Audience exposure to sound at pop concerts: https://www.ioa.org.uk/system/files/publications/JET%20GRIFFITHS%20JG%20STAUNTON%20AUDIENCE%20EXPOSURE%20TO%20SOUND%20AT%20POP%20CONCERTS%20AND%20THE%20IMPACT%20OF%20PROPOSED%20GUIDELINES.pdf</t>
  </si>
  <si>
    <t xml:space="preserve">- DIN 15905-5 summary (Barclays Arena sheet): https://www.barclays-arena.de/assets/doc/Merkblatt_Lautstrkemessung_DT_ENG-67c6f38df2.pdf</t>
  </si>
  <si>
    <t xml:space="preserve">Inputs</t>
  </si>
  <si>
    <t xml:space="preserve">Edit the yellow cells. Everything else recalculates.</t>
  </si>
  <si>
    <t xml:space="preserve">Weather (air absorption)</t>
  </si>
  <si>
    <t xml:space="preserve">Air temperature (C)</t>
  </si>
  <si>
    <t xml:space="preserve">[assumed: 10 C] Set to a typical night temperature for the event season.</t>
  </si>
  <si>
    <t xml:space="preserve">Relative humidity (%)</t>
  </si>
  <si>
    <t xml:space="preserve">[assumed: 70 %]</t>
  </si>
  <si>
    <t xml:space="preserve">Air pressure (kPa)</t>
  </si>
  <si>
    <t xml:space="preserve">Standard atmosphere.</t>
  </si>
  <si>
    <t xml:space="preserve">Night target at the receptor</t>
  </si>
  <si>
    <t xml:space="preserve">Night limit, dB(A)</t>
  </si>
  <si>
    <t xml:space="preserve">NV 272/2011: base 50 dB, night -10 dB, LAeq,1h of the loudest hour, up to 2 m from the facade. Since Dec 2015 not applicable to outdoor music (Act 258/2000, s. 30(2)); kept as a reference.</t>
  </si>
  <si>
    <t xml:space="preserve">Music penalty, dB</t>
  </si>
  <si>
    <t xml:space="preserve">NV 272/2011: -5 dB for tonal noise; music always counts as tonal.</t>
  </si>
  <si>
    <t xml:space="preserve">Night target used, dB(A)</t>
  </si>
  <si>
    <t xml:space="preserve">Distance to receptor (km)</t>
  </si>
  <si>
    <t xml:space="preserve">From handoff, Verify first item 1.</t>
  </si>
  <si>
    <t xml:space="preserve">Hardware class: typical playing level</t>
  </si>
  <si>
    <t xml:space="preserve">Class</t>
  </si>
  <si>
    <t xml:space="preserve">Playing level, LAeq dB(A)</t>
  </si>
  <si>
    <t xml:space="preserve">At distance from the stack (m)</t>
  </si>
  <si>
    <t xml:space="preserve">Source / status</t>
  </si>
  <si>
    <t xml:space="preserve">Small PA</t>
  </si>
  <si>
    <t xml:space="preserve">[assumed] Based on the German DIN 15905-5 audience limit of 99 dB(A) LAeq,30min and a 99.6 dB(A) mean measured at concert mix positions (Griffiths &amp; Staunton, IOA). Not measured at outdoor parties. Distance [assumed: 10 m].</t>
  </si>
  <si>
    <t xml:space="preserve">Medium (2-4 subs)</t>
  </si>
  <si>
    <t xml:space="preserve">[assumed] Based on the German DIN 15905-5 audience limit of 99 dB(A) LAeq,30min and a 99.6 dB(A) mean measured at concert mix positions (Griffiths &amp; Staunton, IOA). Not measured at outdoor parties. Distance [assumed: 20 m].</t>
  </si>
  <si>
    <t xml:space="preserve">Large</t>
  </si>
  <si>
    <t xml:space="preserve">[assumed] Based on the German DIN 15905-5 audience limit of 99 dB(A) LAeq,30min and a 99.6 dB(A) mean measured at concert mix positions (Griffiths &amp; Staunton, IOA). Not measured at outdoor parties. Distance [assumed: 40 m]. IOA paper: mix positions 15 m (small venues) to 50 m (stadia).</t>
  </si>
  <si>
    <t xml:space="preserve">Custom (measured)</t>
  </si>
  <si>
    <t xml:space="preserve">Optional: a measured LAeq and the distance it was measured at.</t>
  </si>
  <si>
    <t xml:space="preserve">Sound character: octave-band spectrum shape, dB unweighted (scaled to the class level)</t>
  </si>
  <si>
    <t xml:space="preserve">Character</t>
  </si>
  <si>
    <t xml:space="preserve">31.5 Hz</t>
  </si>
  <si>
    <t xml:space="preserve">63 Hz</t>
  </si>
  <si>
    <t xml:space="preserve">125 Hz</t>
  </si>
  <si>
    <t xml:space="preserve">250 Hz</t>
  </si>
  <si>
    <t xml:space="preserve">500 Hz</t>
  </si>
  <si>
    <t xml:space="preserve">1 kHz</t>
  </si>
  <si>
    <t xml:space="preserve">2 kHz</t>
  </si>
  <si>
    <t xml:space="preserve">4 kHz</t>
  </si>
  <si>
    <t xml:space="preserve">8 kHz</t>
  </si>
  <si>
    <t xml:space="preserve">dB(A) of row</t>
  </si>
  <si>
    <t xml:space="preserve">dB(C) of row</t>
  </si>
  <si>
    <t xml:space="preserve">Source</t>
  </si>
  <si>
    <t xml:space="preserve">Balanced</t>
  </si>
  <si>
    <t xml:space="preserve">Source genre: Alt &amp; Rock. Chosen over Pop (same dB(C) minus dB(A)) because it gives the lower margin at every class and distance.</t>
  </si>
  <si>
    <t xml:space="preserve">Bass heavy</t>
  </si>
  <si>
    <t xml:space="preserve">Source genre: Urban.</t>
  </si>
  <si>
    <t xml:space="preserve">Very bass heavy</t>
  </si>
  <si>
    <t xml:space="preserve">Source genre: Dance. Strongest 31.5 and 63 Hz.</t>
  </si>
  <si>
    <t xml:space="preserve">Character spectra: Fiumicelli, Parker, Lawrence, Stewart, Low frequency sound at outdoor concerts: a necessary noise (IOA), Table 1. Octave bands normalised to 98 dB(A).</t>
  </si>
  <si>
    <t xml:space="preserve">Classes need both cells filled; an empty class leaves its rows blank in Results and Summary.</t>
  </si>
  <si>
    <t xml:space="preserve">Summary</t>
  </si>
  <si>
    <t xml:space="preserve">Green passes, red fails. Blank: the class has no level entered.</t>
  </si>
  <si>
    <t xml:space="preserve">Margin to night target, dB(A)</t>
  </si>
  <si>
    <t xml:space="preserve">Worst band margin to hearing threshold, dB</t>
  </si>
  <si>
    <t xml:space="preserve">Inaudible in all bands?</t>
  </si>
  <si>
    <t xml:space="preserve">Reference values per octave band</t>
  </si>
  <si>
    <t xml:space="preserve">Row</t>
  </si>
  <si>
    <t xml:space="preserve">Nominal frequency (Hz)</t>
  </si>
  <si>
    <t xml:space="preserve">ISO 266 preferred frequencies.</t>
  </si>
  <si>
    <t xml:space="preserve">Band index k</t>
  </si>
  <si>
    <t xml:space="preserve">Exact centre = 1000 x 10^(0.3 k).</t>
  </si>
  <si>
    <t xml:space="preserve">Exact centre frequency (Hz)</t>
  </si>
  <si>
    <t xml:space="preserve">Used for air absorption.</t>
  </si>
  <si>
    <t xml:space="preserve">A-weighting (dB)</t>
  </si>
  <si>
    <t xml:space="preserve">IEC 61672-1.</t>
  </si>
  <si>
    <t xml:space="preserve">C-weighting (dB)</t>
  </si>
  <si>
    <t xml:space="preserve">Hearing threshold (dB)</t>
  </si>
  <si>
    <t xml:space="preserve">[unverified] Recalled ISO 226:2003 threshold, pure tones, free field, binaural. Applied to octave bands as an approximation.</t>
  </si>
  <si>
    <t xml:space="preserve">Air absorption (dB/km)</t>
  </si>
  <si>
    <t xml:space="preserve">ISO 9613-1 formula, weather from Inputs.</t>
  </si>
  <si>
    <t xml:space="preserve">Air absorption intermediates (ISO 9613-1)</t>
  </si>
  <si>
    <t xml:space="preserve">Temperature (K)</t>
  </si>
  <si>
    <t xml:space="preserve">Pressure ratio pa/pr</t>
  </si>
  <si>
    <t xml:space="preserve">Exponent C</t>
  </si>
  <si>
    <t xml:space="preserve">Water vapour h (%)</t>
  </si>
  <si>
    <t xml:space="preserve">Oxygen relaxation frO (Hz)</t>
  </si>
  <si>
    <t xml:space="preserve">Nitrogen relaxation frN (Hz)</t>
  </si>
  <si>
    <t xml:space="preserve">Rig-independent figures</t>
  </si>
  <si>
    <t xml:space="preserve">Same for every class and character. Reference distance 1 m.</t>
  </si>
  <si>
    <t xml:space="preserve">Attenuation from 1 m (dB): spreading + air absorption</t>
  </si>
  <si>
    <t xml:space="preserve">Distance (km)</t>
  </si>
  <si>
    <t xml:space="preserve">Inaudible tier: highest band level at 1 m that stays below the hearing threshold (dB)</t>
  </si>
  <si>
    <t xml:space="preserve">Night target: highest total dB(A) at 1 m, spreading only (air absorption ignored, so slightly strict)</t>
  </si>
  <si>
    <t xml:space="preserve">Max dB(A) at 1 m</t>
  </si>
  <si>
    <t xml:space="preserve">Results per class and character</t>
  </si>
  <si>
    <t xml:space="preserve">Margins: positive passes, negative fails. Empty blocks: the class has no level entered.</t>
  </si>
  <si>
    <t xml:space="preserve">Level at receptor (dB, octave band, unweighted)</t>
  </si>
  <si>
    <t xml:space="preserve">dB(A)</t>
  </si>
  <si>
    <t xml:space="preserve">dB(C)</t>
  </si>
  <si>
    <t xml:space="preserve">Under night target?</t>
  </si>
  <si>
    <t xml:space="preserve">Margin to hearing threshold (dB, positive = below threshold)</t>
  </si>
  <si>
    <t xml:space="preserve">Worst band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</si>
</sst>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"/>
    <numFmt numFmtId="167" formatCode="0.000"/>
    <numFmt numFmtId="168" formatCode="0.0&quot; km&quot;"/>
    <numFmt numFmtId="169" formatCode="0.00"/>
    <numFmt numFmtId="170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C6EFCE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23.8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4" t="s">
        <v>11</v>
      </c>
    </row>
    <row r="16" customFormat="false" ht="15" hidden="false" customHeight="false" outlineLevel="0" collapsed="false">
      <c r="A16" s="4" t="s">
        <v>12</v>
      </c>
    </row>
    <row r="17" customFormat="false" ht="15" hidden="false" customHeight="false" outlineLevel="0" collapsed="false">
      <c r="A17" s="4" t="s">
        <v>13</v>
      </c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4" t="s">
        <v>15</v>
      </c>
    </row>
    <row r="22" customFormat="false" ht="15" hidden="false" customHeight="false" outlineLevel="0" collapsed="false">
      <c r="A22" s="3" t="s">
        <v>16</v>
      </c>
    </row>
    <row r="23" customFormat="false" ht="23.85" hidden="false" customHeight="false" outlineLevel="0" collapsed="false">
      <c r="A23" s="4" t="s">
        <v>17</v>
      </c>
    </row>
    <row r="25" customFormat="false" ht="15" hidden="false" customHeight="false" outlineLevel="0" collapsed="false">
      <c r="A25" s="3" t="s">
        <v>18</v>
      </c>
    </row>
    <row r="26" customFormat="false" ht="23.85" hidden="false" customHeight="false" outlineLevel="0" collapsed="false">
      <c r="A26" s="4" t="s">
        <v>19</v>
      </c>
    </row>
    <row r="27" customFormat="false" ht="15" hidden="false" customHeight="false" outlineLevel="0" collapsed="false">
      <c r="A27" s="4" t="s">
        <v>20</v>
      </c>
    </row>
    <row r="28" customFormat="false" ht="15" hidden="false" customHeight="false" outlineLevel="0" collapsed="false">
      <c r="A28" s="4" t="s">
        <v>21</v>
      </c>
    </row>
    <row r="29" customFormat="false" ht="15" hidden="false" customHeight="false" outlineLevel="0" collapsed="false">
      <c r="A29" s="4" t="s">
        <v>22</v>
      </c>
    </row>
    <row r="31" customFormat="false" ht="15" hidden="false" customHeight="false" outlineLevel="0" collapsed="false">
      <c r="A31" s="3" t="s">
        <v>23</v>
      </c>
    </row>
    <row r="32" customFormat="false" ht="15" hidden="false" customHeight="false" outlineLevel="0" collapsed="false">
      <c r="A32" s="4" t="s">
        <v>24</v>
      </c>
    </row>
    <row r="33" customFormat="false" ht="23.85" hidden="false" customHeight="false" outlineLevel="0" collapsed="false">
      <c r="A33" s="4" t="s">
        <v>25</v>
      </c>
    </row>
    <row r="34" customFormat="false" ht="23.85" hidden="false" customHeight="false" outlineLevel="0" collapsed="false">
      <c r="A34" s="4" t="s">
        <v>26</v>
      </c>
    </row>
    <row r="35" customFormat="false" ht="15" hidden="false" customHeight="false" outlineLevel="0" collapsed="false">
      <c r="A35" s="4" t="s">
        <v>27</v>
      </c>
    </row>
    <row r="37" customFormat="false" ht="15" hidden="false" customHeight="false" outlineLevel="0" collapsed="false">
      <c r="A37" s="3" t="s">
        <v>28</v>
      </c>
    </row>
    <row r="38" customFormat="false" ht="35.05" hidden="false" customHeight="false" outlineLevel="0" collapsed="false">
      <c r="A38" s="4" t="s">
        <v>29</v>
      </c>
    </row>
    <row r="39" customFormat="false" ht="35.05" hidden="false" customHeight="false" outlineLevel="0" collapsed="false">
      <c r="A39" s="4" t="s">
        <v>30</v>
      </c>
    </row>
    <row r="40" customFormat="false" ht="15" hidden="false" customHeight="false" outlineLevel="0" collapsed="false">
      <c r="A40" s="4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4"/>
    <col collapsed="false" customWidth="true" hidden="false" outlineLevel="0" max="4" min="4" style="0" width="9"/>
    <col collapsed="false" customWidth="true" hidden="false" outlineLevel="0" max="10" min="5" style="0" width="13"/>
    <col collapsed="false" customWidth="true" hidden="false" outlineLevel="0" max="12" min="11" style="0" width="11"/>
    <col collapsed="false" customWidth="true" hidden="false" outlineLevel="0" max="13" min="13" style="0" width="60"/>
  </cols>
  <sheetData>
    <row r="1" customFormat="false" ht="16.15" hidden="false" customHeight="false" outlineLevel="0" collapsed="false">
      <c r="A1" s="5" t="s">
        <v>32</v>
      </c>
    </row>
    <row r="2" customFormat="false" ht="15" hidden="false" customHeight="false" outlineLevel="0" collapsed="false">
      <c r="A2" s="6" t="s">
        <v>33</v>
      </c>
    </row>
    <row r="4" customFormat="false" ht="15" hidden="false" customHeight="false" outlineLevel="0" collapsed="false">
      <c r="A4" s="7" t="s">
        <v>34</v>
      </c>
    </row>
    <row r="5" customFormat="false" ht="15" hidden="false" customHeight="false" outlineLevel="0" collapsed="false">
      <c r="A5" s="8" t="s">
        <v>35</v>
      </c>
      <c r="B5" s="9" t="n">
        <v>10</v>
      </c>
      <c r="C5" s="6" t="s">
        <v>36</v>
      </c>
    </row>
    <row r="6" customFormat="false" ht="15" hidden="false" customHeight="false" outlineLevel="0" collapsed="false">
      <c r="A6" s="8" t="s">
        <v>37</v>
      </c>
      <c r="B6" s="10" t="n">
        <v>70</v>
      </c>
      <c r="C6" s="6" t="s">
        <v>38</v>
      </c>
    </row>
    <row r="7" customFormat="false" ht="15" hidden="false" customHeight="false" outlineLevel="0" collapsed="false">
      <c r="A7" s="8" t="s">
        <v>39</v>
      </c>
      <c r="B7" s="11" t="n">
        <v>101.325</v>
      </c>
      <c r="C7" s="6" t="s">
        <v>40</v>
      </c>
    </row>
    <row r="9" customFormat="false" ht="15" hidden="false" customHeight="false" outlineLevel="0" collapsed="false">
      <c r="A9" s="7" t="s">
        <v>41</v>
      </c>
    </row>
    <row r="10" customFormat="false" ht="15" hidden="false" customHeight="false" outlineLevel="0" collapsed="false">
      <c r="A10" s="8" t="s">
        <v>42</v>
      </c>
      <c r="B10" s="10" t="n">
        <v>40</v>
      </c>
      <c r="C10" s="6" t="s">
        <v>43</v>
      </c>
    </row>
    <row r="11" customFormat="false" ht="15" hidden="false" customHeight="false" outlineLevel="0" collapsed="false">
      <c r="A11" s="8" t="s">
        <v>44</v>
      </c>
      <c r="B11" s="10" t="n">
        <v>5</v>
      </c>
      <c r="C11" s="6" t="s">
        <v>45</v>
      </c>
    </row>
    <row r="12" customFormat="false" ht="15" hidden="false" customHeight="false" outlineLevel="0" collapsed="false">
      <c r="A12" s="7" t="s">
        <v>46</v>
      </c>
      <c r="B12" s="12" t="n">
        <f aca="false">B10-B11</f>
        <v>35</v>
      </c>
    </row>
    <row r="14" customFormat="false" ht="15" hidden="false" customHeight="false" outlineLevel="0" collapsed="false">
      <c r="A14" s="7" t="s">
        <v>47</v>
      </c>
    </row>
    <row r="15" customFormat="false" ht="15" hidden="false" customHeight="false" outlineLevel="0" collapsed="false">
      <c r="A15" s="9" t="n">
        <v>0.5</v>
      </c>
      <c r="B15" s="6" t="s">
        <v>48</v>
      </c>
    </row>
    <row r="16" customFormat="false" ht="15" hidden="false" customHeight="false" outlineLevel="0" collapsed="false">
      <c r="A16" s="9" t="n">
        <v>1</v>
      </c>
    </row>
    <row r="17" customFormat="false" ht="15" hidden="false" customHeight="false" outlineLevel="0" collapsed="false">
      <c r="A17" s="9" t="n">
        <v>2</v>
      </c>
    </row>
    <row r="18" customFormat="false" ht="15" hidden="false" customHeight="false" outlineLevel="0" collapsed="false">
      <c r="A18" s="9" t="n">
        <v>3</v>
      </c>
    </row>
    <row r="19" customFormat="false" ht="15" hidden="false" customHeight="false" outlineLevel="0" collapsed="false">
      <c r="A19" s="9" t="n">
        <v>5</v>
      </c>
    </row>
    <row r="20" customFormat="false" ht="15" hidden="false" customHeight="false" outlineLevel="0" collapsed="false">
      <c r="A20" s="9" t="n">
        <v>10</v>
      </c>
    </row>
    <row r="22" customFormat="false" ht="15" hidden="false" customHeight="false" outlineLevel="0" collapsed="false">
      <c r="A22" s="7" t="s">
        <v>49</v>
      </c>
    </row>
    <row r="23" customFormat="false" ht="35.05" hidden="false" customHeight="true" outlineLevel="0" collapsed="false">
      <c r="A23" s="13" t="s">
        <v>50</v>
      </c>
      <c r="B23" s="13" t="s">
        <v>51</v>
      </c>
      <c r="C23" s="13" t="s">
        <v>52</v>
      </c>
      <c r="D23" s="14" t="s">
        <v>53</v>
      </c>
      <c r="E23" s="14"/>
      <c r="F23" s="14"/>
      <c r="G23" s="14"/>
      <c r="H23" s="14"/>
      <c r="I23" s="14"/>
      <c r="J23" s="14"/>
      <c r="K23" s="14"/>
      <c r="L23" s="14"/>
      <c r="M23" s="14"/>
    </row>
    <row r="24" customFormat="false" ht="36" hidden="false" customHeight="true" outlineLevel="0" collapsed="false">
      <c r="A24" s="15" t="s">
        <v>54</v>
      </c>
      <c r="B24" s="9" t="n">
        <v>99</v>
      </c>
      <c r="C24" s="10" t="n">
        <v>10</v>
      </c>
      <c r="D24" s="16" t="s">
        <v>55</v>
      </c>
      <c r="E24" s="16"/>
      <c r="F24" s="16"/>
      <c r="G24" s="16"/>
      <c r="H24" s="16"/>
      <c r="I24" s="16"/>
      <c r="J24" s="16"/>
      <c r="K24" s="16"/>
      <c r="L24" s="16"/>
      <c r="M24" s="16"/>
    </row>
    <row r="25" customFormat="false" ht="36" hidden="false" customHeight="true" outlineLevel="0" collapsed="false">
      <c r="A25" s="15" t="s">
        <v>56</v>
      </c>
      <c r="B25" s="9" t="n">
        <v>99</v>
      </c>
      <c r="C25" s="10" t="n">
        <v>20</v>
      </c>
      <c r="D25" s="16" t="s">
        <v>57</v>
      </c>
      <c r="E25" s="16"/>
      <c r="F25" s="16"/>
      <c r="G25" s="16"/>
      <c r="H25" s="16"/>
      <c r="I25" s="16"/>
      <c r="J25" s="16"/>
      <c r="K25" s="16"/>
      <c r="L25" s="16"/>
      <c r="M25" s="16"/>
    </row>
    <row r="26" customFormat="false" ht="36" hidden="false" customHeight="true" outlineLevel="0" collapsed="false">
      <c r="A26" s="15" t="s">
        <v>58</v>
      </c>
      <c r="B26" s="9" t="n">
        <v>99</v>
      </c>
      <c r="C26" s="10" t="n">
        <v>40</v>
      </c>
      <c r="D26" s="16" t="s">
        <v>59</v>
      </c>
      <c r="E26" s="16"/>
      <c r="F26" s="16"/>
      <c r="G26" s="16"/>
      <c r="H26" s="16"/>
      <c r="I26" s="16"/>
      <c r="J26" s="16"/>
      <c r="K26" s="16"/>
      <c r="L26" s="16"/>
      <c r="M26" s="16"/>
    </row>
    <row r="27" customFormat="false" ht="36" hidden="false" customHeight="true" outlineLevel="0" collapsed="false">
      <c r="A27" s="15" t="s">
        <v>60</v>
      </c>
      <c r="B27" s="9"/>
      <c r="C27" s="10"/>
      <c r="D27" s="16" t="s">
        <v>61</v>
      </c>
      <c r="E27" s="16"/>
      <c r="F27" s="16"/>
      <c r="G27" s="16"/>
      <c r="H27" s="16"/>
      <c r="I27" s="16"/>
      <c r="J27" s="16"/>
      <c r="K27" s="16"/>
      <c r="L27" s="16"/>
      <c r="M27" s="16"/>
    </row>
    <row r="29" customFormat="false" ht="15" hidden="false" customHeight="false" outlineLevel="0" collapsed="false">
      <c r="A29" s="7" t="s">
        <v>62</v>
      </c>
    </row>
    <row r="30" customFormat="false" ht="23.85" hidden="false" customHeight="false" outlineLevel="0" collapsed="false">
      <c r="A30" s="13" t="s">
        <v>63</v>
      </c>
      <c r="B30" s="13" t="s">
        <v>64</v>
      </c>
      <c r="C30" s="13" t="s">
        <v>65</v>
      </c>
      <c r="D30" s="13" t="s">
        <v>66</v>
      </c>
      <c r="E30" s="13" t="s">
        <v>67</v>
      </c>
      <c r="F30" s="13" t="s">
        <v>68</v>
      </c>
      <c r="G30" s="13" t="s">
        <v>69</v>
      </c>
      <c r="H30" s="13" t="s">
        <v>70</v>
      </c>
      <c r="I30" s="13" t="s">
        <v>71</v>
      </c>
      <c r="J30" s="13" t="s">
        <v>72</v>
      </c>
      <c r="K30" s="13" t="s">
        <v>73</v>
      </c>
      <c r="L30" s="13" t="s">
        <v>74</v>
      </c>
      <c r="M30" s="13" t="s">
        <v>75</v>
      </c>
    </row>
    <row r="31" customFormat="false" ht="15" hidden="false" customHeight="false" outlineLevel="0" collapsed="false">
      <c r="A31" s="15" t="s">
        <v>76</v>
      </c>
      <c r="B31" s="10" t="n">
        <v>99</v>
      </c>
      <c r="C31" s="10" t="n">
        <v>109</v>
      </c>
      <c r="D31" s="10" t="n">
        <v>100</v>
      </c>
      <c r="E31" s="10" t="n">
        <v>97</v>
      </c>
      <c r="F31" s="10" t="n">
        <v>97</v>
      </c>
      <c r="G31" s="10" t="n">
        <v>92</v>
      </c>
      <c r="H31" s="10" t="n">
        <v>88</v>
      </c>
      <c r="I31" s="10" t="n">
        <v>84</v>
      </c>
      <c r="J31" s="10" t="n">
        <v>78</v>
      </c>
      <c r="K31" s="17" t="n">
        <f aca="false">10*LOG10(SUMPRODUCT(10^((B31:J31+Reference!$B$7:$J$7)/10)))</f>
        <v>97.9999187998575</v>
      </c>
      <c r="L31" s="17" t="n">
        <f aca="false">10*LOG10(SUMPRODUCT(10^((B31:J31+Reference!$B$8:$J$8)/10)))</f>
        <v>109.640336638205</v>
      </c>
      <c r="M31" s="6" t="s">
        <v>77</v>
      </c>
    </row>
    <row r="32" customFormat="false" ht="15" hidden="false" customHeight="false" outlineLevel="0" collapsed="false">
      <c r="A32" s="15" t="s">
        <v>78</v>
      </c>
      <c r="B32" s="10" t="n">
        <v>109</v>
      </c>
      <c r="C32" s="10" t="n">
        <v>113</v>
      </c>
      <c r="D32" s="10" t="n">
        <v>98</v>
      </c>
      <c r="E32" s="10" t="n">
        <v>96</v>
      </c>
      <c r="F32" s="10" t="n">
        <v>94</v>
      </c>
      <c r="G32" s="10" t="n">
        <v>94</v>
      </c>
      <c r="H32" s="10" t="n">
        <v>90</v>
      </c>
      <c r="I32" s="10" t="n">
        <v>86</v>
      </c>
      <c r="J32" s="10" t="n">
        <v>84</v>
      </c>
      <c r="K32" s="17" t="n">
        <f aca="false">10*LOG10(SUMPRODUCT(10^((B32:J32+Reference!$B$7:$J$7)/10)))</f>
        <v>98.4015328908062</v>
      </c>
      <c r="L32" s="17" t="n">
        <f aca="false">10*LOG10(SUMPRODUCT(10^((B32:J32+Reference!$B$8:$J$8)/10)))</f>
        <v>113.467672433509</v>
      </c>
      <c r="M32" s="6" t="s">
        <v>79</v>
      </c>
    </row>
    <row r="33" customFormat="false" ht="15" hidden="false" customHeight="false" outlineLevel="0" collapsed="false">
      <c r="A33" s="15" t="s">
        <v>80</v>
      </c>
      <c r="B33" s="10" t="n">
        <v>111</v>
      </c>
      <c r="C33" s="10" t="n">
        <v>116</v>
      </c>
      <c r="D33" s="10" t="n">
        <v>101</v>
      </c>
      <c r="E33" s="10" t="n">
        <v>96</v>
      </c>
      <c r="F33" s="10" t="n">
        <v>94</v>
      </c>
      <c r="G33" s="10" t="n">
        <v>93</v>
      </c>
      <c r="H33" s="10" t="n">
        <v>89</v>
      </c>
      <c r="I33" s="10" t="n">
        <v>85</v>
      </c>
      <c r="J33" s="10" t="n">
        <v>83</v>
      </c>
      <c r="K33" s="17" t="n">
        <f aca="false">10*LOG10(SUMPRODUCT(10^((B33:J33+Reference!$B$7:$J$7)/10)))</f>
        <v>98.2122924636509</v>
      </c>
      <c r="L33" s="17" t="n">
        <f aca="false">10*LOG10(SUMPRODUCT(10^((B33:J33+Reference!$B$8:$J$8)/10)))</f>
        <v>116.18946444416</v>
      </c>
      <c r="M33" s="6" t="s">
        <v>81</v>
      </c>
    </row>
    <row r="35" customFormat="false" ht="15" hidden="false" customHeight="false" outlineLevel="0" collapsed="false">
      <c r="A35" s="6" t="s">
        <v>82</v>
      </c>
    </row>
    <row r="36" customFormat="false" ht="15" hidden="false" customHeight="false" outlineLevel="0" collapsed="false">
      <c r="A36" s="6" t="s">
        <v>83</v>
      </c>
    </row>
  </sheetData>
  <mergeCells count="5">
    <mergeCell ref="D23:M23"/>
    <mergeCell ref="D24:M24"/>
    <mergeCell ref="D25:M25"/>
    <mergeCell ref="D26:M26"/>
    <mergeCell ref="D27:M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8" min="3" style="0" width="11"/>
  </cols>
  <sheetData>
    <row r="1" customFormat="false" ht="16.15" hidden="false" customHeight="false" outlineLevel="0" collapsed="false">
      <c r="A1" s="5" t="s">
        <v>84</v>
      </c>
    </row>
    <row r="2" customFormat="false" ht="15" hidden="false" customHeight="false" outlineLevel="0" collapsed="false">
      <c r="A2" s="6" t="s">
        <v>85</v>
      </c>
    </row>
    <row r="4" customFormat="false" ht="15" hidden="false" customHeight="false" outlineLevel="0" collapsed="false">
      <c r="A4" s="7" t="s">
        <v>86</v>
      </c>
    </row>
    <row r="5" customFormat="false" ht="15" hidden="false" customHeight="false" outlineLevel="0" collapsed="false">
      <c r="A5" s="13" t="s">
        <v>50</v>
      </c>
      <c r="B5" s="13" t="s">
        <v>63</v>
      </c>
      <c r="C5" s="18" t="n">
        <f aca="false">Inputs!A15</f>
        <v>0.5</v>
      </c>
      <c r="D5" s="18" t="n">
        <f aca="false">Inputs!A16</f>
        <v>1</v>
      </c>
      <c r="E5" s="18" t="n">
        <f aca="false">Inputs!A17</f>
        <v>2</v>
      </c>
      <c r="F5" s="18" t="n">
        <f aca="false">Inputs!A18</f>
        <v>3</v>
      </c>
      <c r="G5" s="18" t="n">
        <f aca="false">Inputs!A19</f>
        <v>5</v>
      </c>
      <c r="H5" s="18" t="n">
        <f aca="false">Inputs!A20</f>
        <v>10</v>
      </c>
    </row>
    <row r="6" customFormat="false" ht="15" hidden="false" customHeight="false" outlineLevel="0" collapsed="false">
      <c r="A6" s="19" t="str">
        <f aca="false">Inputs!A24</f>
        <v>Small PA</v>
      </c>
      <c r="B6" s="19" t="str">
        <f aca="false">Inputs!A31</f>
        <v>Balanced</v>
      </c>
      <c r="C6" s="20" t="n">
        <f aca="false">IF(Results!M7="","",Results!M7)</f>
        <v>-28.3599022106663</v>
      </c>
      <c r="D6" s="20" t="n">
        <f aca="false">IF(Results!M8="","",Results!M8)</f>
        <v>-21.1607429806167</v>
      </c>
      <c r="E6" s="20" t="n">
        <f aca="false">IF(Results!M9="","",Results!M9)</f>
        <v>-13.2253933580484</v>
      </c>
      <c r="F6" s="20" t="n">
        <f aca="false">IF(Results!M10="","",Results!M10)</f>
        <v>-8.11129409528229</v>
      </c>
      <c r="G6" s="20" t="n">
        <f aca="false">IF(Results!M11="","",Results!M11)</f>
        <v>-1.12586940732741</v>
      </c>
      <c r="H6" s="20" t="n">
        <f aca="false">IF(Results!M12="","",Results!M12)</f>
        <v>8.79101658786177</v>
      </c>
    </row>
    <row r="7" customFormat="false" ht="15" hidden="false" customHeight="false" outlineLevel="0" collapsed="false">
      <c r="A7" s="19" t="str">
        <f aca="false">Inputs!A24</f>
        <v>Small PA</v>
      </c>
      <c r="B7" s="19" t="str">
        <f aca="false">Inputs!A32</f>
        <v>Bass heavy</v>
      </c>
      <c r="C7" s="20" t="n">
        <f aca="false">IF(Results!M25="","",Results!M25)</f>
        <v>-27.8544971641344</v>
      </c>
      <c r="D7" s="20" t="n">
        <f aca="false">IF(Results!M26="","",Results!M26)</f>
        <v>-20.456584984202</v>
      </c>
      <c r="E7" s="20" t="n">
        <f aca="false">IF(Results!M27="","",Results!M27)</f>
        <v>-12.3959586598538</v>
      </c>
      <c r="F7" s="20" t="n">
        <f aca="false">IF(Results!M28="","",Results!M28)</f>
        <v>-7.38101173594403</v>
      </c>
      <c r="G7" s="20" t="n">
        <f aca="false">IF(Results!M29="","",Results!M29)</f>
        <v>-0.944201050563819</v>
      </c>
      <c r="H7" s="20" t="n">
        <f aca="false">IF(Results!M30="","",Results!M30)</f>
        <v>7.45469202108204</v>
      </c>
    </row>
    <row r="8" customFormat="false" ht="15" hidden="false" customHeight="false" outlineLevel="0" collapsed="false">
      <c r="A8" s="19" t="str">
        <f aca="false">Inputs!A24</f>
        <v>Small PA</v>
      </c>
      <c r="B8" s="19" t="str">
        <f aca="false">Inputs!A33</f>
        <v>Very bass heavy</v>
      </c>
      <c r="C8" s="20" t="n">
        <f aca="false">IF(Results!M43="","",Results!M43)</f>
        <v>-28.2325247471109</v>
      </c>
      <c r="D8" s="20" t="n">
        <f aca="false">IF(Results!M44="","",Results!M44)</f>
        <v>-21.1218590698867</v>
      </c>
      <c r="E8" s="20" t="n">
        <f aca="false">IF(Results!M45="","",Results!M45)</f>
        <v>-13.5637560089549</v>
      </c>
      <c r="F8" s="20" t="n">
        <f aca="false">IF(Results!M46="","",Results!M46)</f>
        <v>-8.97346181227557</v>
      </c>
      <c r="G8" s="20" t="n">
        <f aca="false">IF(Results!M47="","",Results!M47)</f>
        <v>-3.155898451021</v>
      </c>
      <c r="H8" s="20" t="n">
        <f aca="false">IF(Results!M48="","",Results!M48)</f>
        <v>4.57496827870358</v>
      </c>
    </row>
    <row r="9" customFormat="false" ht="15" hidden="false" customHeight="false" outlineLevel="0" collapsed="false">
      <c r="A9" s="19" t="str">
        <f aca="false">Inputs!A25</f>
        <v>Medium (2-4 subs)</v>
      </c>
      <c r="B9" s="19" t="str">
        <f aca="false">Inputs!A31</f>
        <v>Balanced</v>
      </c>
      <c r="C9" s="20" t="n">
        <f aca="false">IF(Results!M61="","",Results!M61)</f>
        <v>-34.4067725672397</v>
      </c>
      <c r="D9" s="20" t="n">
        <f aca="false">IF(Results!M62="","",Results!M62)</f>
        <v>-27.2029375084682</v>
      </c>
      <c r="E9" s="20" t="n">
        <f aca="false">IF(Results!M63="","",Results!M63)</f>
        <v>-19.2632733877603</v>
      </c>
      <c r="F9" s="20" t="n">
        <f aca="false">IF(Results!M64="","",Results!M64)</f>
        <v>-14.1466199284605</v>
      </c>
      <c r="G9" s="20" t="n">
        <f aca="false">IF(Results!M65="","",Results!M65)</f>
        <v>-7.15744240404281</v>
      </c>
      <c r="H9" s="20" t="n">
        <f aca="false">IF(Results!M66="","",Results!M66)</f>
        <v>2.76503774521806</v>
      </c>
    </row>
    <row r="10" customFormat="false" ht="15" hidden="false" customHeight="false" outlineLevel="0" collapsed="false">
      <c r="A10" s="19" t="str">
        <f aca="false">Inputs!A25</f>
        <v>Medium (2-4 subs)</v>
      </c>
      <c r="B10" s="19" t="str">
        <f aca="false">Inputs!A32</f>
        <v>Bass heavy</v>
      </c>
      <c r="C10" s="20" t="n">
        <f aca="false">IF(Results!M79="","",Results!M79)</f>
        <v>-33.9067625588356</v>
      </c>
      <c r="D10" s="20" t="n">
        <f aca="false">IF(Results!M80="","",Results!M80)</f>
        <v>-26.5016377622703</v>
      </c>
      <c r="E10" s="20" t="n">
        <f aca="false">IF(Results!M81="","",Results!M81)</f>
        <v>-18.4337947186693</v>
      </c>
      <c r="F10" s="20" t="n">
        <f aca="false">IF(Results!M82="","",Results!M82)</f>
        <v>-13.4145504314514</v>
      </c>
      <c r="G10" s="20" t="n">
        <f aca="false">IF(Results!M83="","",Results!M83)</f>
        <v>-6.97245092918948</v>
      </c>
      <c r="H10" s="20" t="n">
        <f aca="false">IF(Results!M84="","",Results!M84)</f>
        <v>1.4310489706023</v>
      </c>
    </row>
    <row r="11" customFormat="false" ht="15" hidden="false" customHeight="false" outlineLevel="0" collapsed="false">
      <c r="A11" s="19" t="str">
        <f aca="false">Inputs!A25</f>
        <v>Medium (2-4 subs)</v>
      </c>
      <c r="B11" s="19" t="str">
        <f aca="false">Inputs!A33</f>
        <v>Very bass heavy</v>
      </c>
      <c r="C11" s="20" t="n">
        <f aca="false">IF(Results!M97="","",Results!M97)</f>
        <v>-34.2786590767045</v>
      </c>
      <c r="D11" s="20" t="n">
        <f aca="false">IF(Results!M98="","",Results!M98)</f>
        <v>-27.1614513833103</v>
      </c>
      <c r="E11" s="20" t="n">
        <f aca="false">IF(Results!M99="","",Results!M99)</f>
        <v>-19.5969590329494</v>
      </c>
      <c r="F11" s="20" t="n">
        <f aca="false">IF(Results!M100="","",Results!M100)</f>
        <v>-15.0031384524131</v>
      </c>
      <c r="G11" s="20" t="n">
        <f aca="false">IF(Results!M101="","",Results!M101)</f>
        <v>-9.18175357862708</v>
      </c>
      <c r="H11" s="20" t="n">
        <f aca="false">IF(Results!M102="","",Results!M102)</f>
        <v>-1.44801063797507</v>
      </c>
    </row>
    <row r="12" customFormat="false" ht="15" hidden="false" customHeight="false" outlineLevel="0" collapsed="false">
      <c r="A12" s="19" t="str">
        <f aca="false">Inputs!A26</f>
        <v>Large</v>
      </c>
      <c r="B12" s="19" t="str">
        <f aca="false">Inputs!A31</f>
        <v>Balanced</v>
      </c>
      <c r="C12" s="20" t="n">
        <f aca="false">IF(Results!M115="","",Results!M115)</f>
        <v>-40.4803607938155</v>
      </c>
      <c r="D12" s="20" t="n">
        <f aca="false">IF(Results!M116="","",Results!M116)</f>
        <v>-33.2669212120108</v>
      </c>
      <c r="E12" s="20" t="n">
        <f aca="false">IF(Results!M117="","",Results!M117)</f>
        <v>-25.3185254142637</v>
      </c>
      <c r="F12" s="20" t="n">
        <f aca="false">IF(Results!M118="","",Results!M118)</f>
        <v>-20.1967382422784</v>
      </c>
      <c r="G12" s="20" t="n">
        <f aca="false">IF(Results!M119="","",Results!M119)</f>
        <v>-13.200036818144</v>
      </c>
      <c r="H12" s="20" t="n">
        <f aca="false">IF(Results!M120="","",Results!M120)</f>
        <v>-3.26634113302796</v>
      </c>
    </row>
    <row r="13" customFormat="false" ht="15" hidden="false" customHeight="false" outlineLevel="0" collapsed="false">
      <c r="A13" s="19" t="str">
        <f aca="false">Inputs!A26</f>
        <v>Large</v>
      </c>
      <c r="B13" s="19" t="str">
        <f aca="false">Inputs!A32</f>
        <v>Bass heavy</v>
      </c>
      <c r="C13" s="20" t="n">
        <f aca="false">IF(Results!M133="","",Results!M133)</f>
        <v>-39.9913611716156</v>
      </c>
      <c r="D13" s="20" t="n">
        <f aca="false">IF(Results!M134="","",Results!M134)</f>
        <v>-32.5714557746341</v>
      </c>
      <c r="E13" s="20" t="n">
        <f aca="false">IF(Results!M135="","",Results!M135)</f>
        <v>-24.4890245126937</v>
      </c>
      <c r="F13" s="20" t="n">
        <f aca="false">IF(Results!M136="","",Results!M136)</f>
        <v>-19.4611355650785</v>
      </c>
      <c r="G13" s="20" t="n">
        <f aca="false">IF(Results!M137="","",Results!M137)</f>
        <v>-13.0084071274546</v>
      </c>
      <c r="H13" s="20" t="n">
        <f aca="false">IF(Results!M138="","",Results!M138)</f>
        <v>-4.59564904365752</v>
      </c>
    </row>
    <row r="14" customFormat="false" ht="15" hidden="false" customHeight="false" outlineLevel="0" collapsed="false">
      <c r="A14" s="19" t="str">
        <f aca="false">Inputs!A26</f>
        <v>Large</v>
      </c>
      <c r="B14" s="19" t="str">
        <f aca="false">Inputs!A33</f>
        <v>Very bass heavy</v>
      </c>
      <c r="C14" s="20" t="n">
        <f aca="false">IF(Results!M151="","",Results!M151)</f>
        <v>-40.3509282373705</v>
      </c>
      <c r="D14" s="20" t="n">
        <f aca="false">IF(Results!M152="","",Results!M152)</f>
        <v>-33.2203188977525</v>
      </c>
      <c r="E14" s="20" t="n">
        <f aca="false">IF(Results!M153="","",Results!M153)</f>
        <v>-25.6428999807902</v>
      </c>
      <c r="F14" s="20" t="n">
        <f aca="false">IF(Results!M154="","",Results!M154)</f>
        <v>-21.0419758592388</v>
      </c>
      <c r="G14" s="20" t="n">
        <f aca="false">IF(Results!M155="","",Results!M155)</f>
        <v>-15.2129014914893</v>
      </c>
      <c r="H14" s="20" t="n">
        <f aca="false">IF(Results!M156="","",Results!M156)</f>
        <v>-7.47337550402066</v>
      </c>
    </row>
    <row r="15" customFormat="false" ht="15" hidden="false" customHeight="false" outlineLevel="0" collapsed="false">
      <c r="A15" s="19" t="str">
        <f aca="false">Inputs!A27</f>
        <v>Custom (measured)</v>
      </c>
      <c r="B15" s="19" t="str">
        <f aca="false">Inputs!A31</f>
        <v>Balanced</v>
      </c>
      <c r="C15" s="20" t="str">
        <f aca="false">IF(Results!M169="","",Results!M169)</f>
        <v/>
      </c>
      <c r="D15" s="20" t="str">
        <f aca="false">IF(Results!M170="","",Results!M170)</f>
        <v/>
      </c>
      <c r="E15" s="20" t="str">
        <f aca="false">IF(Results!M171="","",Results!M171)</f>
        <v/>
      </c>
      <c r="F15" s="20" t="str">
        <f aca="false">IF(Results!M172="","",Results!M172)</f>
        <v/>
      </c>
      <c r="G15" s="20" t="str">
        <f aca="false">IF(Results!M173="","",Results!M173)</f>
        <v/>
      </c>
      <c r="H15" s="20" t="str">
        <f aca="false">IF(Results!M174="","",Results!M174)</f>
        <v/>
      </c>
    </row>
    <row r="16" customFormat="false" ht="15" hidden="false" customHeight="false" outlineLevel="0" collapsed="false">
      <c r="A16" s="19" t="str">
        <f aca="false">Inputs!A27</f>
        <v>Custom (measured)</v>
      </c>
      <c r="B16" s="19" t="str">
        <f aca="false">Inputs!A32</f>
        <v>Bass heavy</v>
      </c>
      <c r="C16" s="20" t="str">
        <f aca="false">IF(Results!M187="","",Results!M187)</f>
        <v/>
      </c>
      <c r="D16" s="20" t="str">
        <f aca="false">IF(Results!M188="","",Results!M188)</f>
        <v/>
      </c>
      <c r="E16" s="20" t="str">
        <f aca="false">IF(Results!M189="","",Results!M189)</f>
        <v/>
      </c>
      <c r="F16" s="20" t="str">
        <f aca="false">IF(Results!M190="","",Results!M190)</f>
        <v/>
      </c>
      <c r="G16" s="20" t="str">
        <f aca="false">IF(Results!M191="","",Results!M191)</f>
        <v/>
      </c>
      <c r="H16" s="20" t="str">
        <f aca="false">IF(Results!M192="","",Results!M192)</f>
        <v/>
      </c>
    </row>
    <row r="17" customFormat="false" ht="15" hidden="false" customHeight="false" outlineLevel="0" collapsed="false">
      <c r="A17" s="19" t="str">
        <f aca="false">Inputs!A27</f>
        <v>Custom (measured)</v>
      </c>
      <c r="B17" s="19" t="str">
        <f aca="false">Inputs!A33</f>
        <v>Very bass heavy</v>
      </c>
      <c r="C17" s="20" t="str">
        <f aca="false">IF(Results!M205="","",Results!M205)</f>
        <v/>
      </c>
      <c r="D17" s="20" t="str">
        <f aca="false">IF(Results!M206="","",Results!M206)</f>
        <v/>
      </c>
      <c r="E17" s="20" t="str">
        <f aca="false">IF(Results!M207="","",Results!M207)</f>
        <v/>
      </c>
      <c r="F17" s="20" t="str">
        <f aca="false">IF(Results!M208="","",Results!M208)</f>
        <v/>
      </c>
      <c r="G17" s="20" t="str">
        <f aca="false">IF(Results!M209="","",Results!M209)</f>
        <v/>
      </c>
      <c r="H17" s="20" t="str">
        <f aca="false">IF(Results!M210="","",Results!M210)</f>
        <v/>
      </c>
    </row>
    <row r="20" customFormat="false" ht="15" hidden="false" customHeight="false" outlineLevel="0" collapsed="false">
      <c r="A20" s="7" t="s">
        <v>87</v>
      </c>
    </row>
    <row r="21" customFormat="false" ht="15" hidden="false" customHeight="false" outlineLevel="0" collapsed="false">
      <c r="A21" s="13" t="s">
        <v>50</v>
      </c>
      <c r="B21" s="13" t="s">
        <v>63</v>
      </c>
      <c r="C21" s="18" t="n">
        <f aca="false">Inputs!A15</f>
        <v>0.5</v>
      </c>
      <c r="D21" s="18" t="n">
        <f aca="false">Inputs!A16</f>
        <v>1</v>
      </c>
      <c r="E21" s="18" t="n">
        <f aca="false">Inputs!A17</f>
        <v>2</v>
      </c>
      <c r="F21" s="18" t="n">
        <f aca="false">Inputs!A18</f>
        <v>3</v>
      </c>
      <c r="G21" s="18" t="n">
        <f aca="false">Inputs!A19</f>
        <v>5</v>
      </c>
      <c r="H21" s="18" t="n">
        <f aca="false">Inputs!A20</f>
        <v>10</v>
      </c>
    </row>
    <row r="22" customFormat="false" ht="15" hidden="false" customHeight="false" outlineLevel="0" collapsed="false">
      <c r="A22" s="19" t="str">
        <f aca="false">Inputs!A24</f>
        <v>Small PA</v>
      </c>
      <c r="B22" s="19" t="str">
        <f aca="false">Inputs!A31</f>
        <v>Balanced</v>
      </c>
      <c r="C22" s="20" t="n">
        <f aca="false">IF(Results!K15="","",Results!K15)</f>
        <v>-58.6760286822691</v>
      </c>
      <c r="D22" s="20" t="n">
        <f aca="false">IF(Results!K16="","",Results!K16)</f>
        <v>-51.6914977167925</v>
      </c>
      <c r="E22" s="20" t="n">
        <f aca="false">IF(Results!K17="","",Results!K17)</f>
        <v>-43.7430356991189</v>
      </c>
      <c r="F22" s="20" t="n">
        <f aca="false">IF(Results!K18="","",Results!K18)</f>
        <v>-38.2933484136112</v>
      </c>
      <c r="G22" s="20" t="n">
        <f aca="false">IF(Results!K19="","",Results!K19)</f>
        <v>-30.0006492124961</v>
      </c>
      <c r="H22" s="20" t="n">
        <f aca="false">IF(Results!K20="","",Results!K20)</f>
        <v>-16.1768414646468</v>
      </c>
    </row>
    <row r="23" customFormat="false" ht="15" hidden="false" customHeight="false" outlineLevel="0" collapsed="false">
      <c r="A23" s="19" t="str">
        <f aca="false">Inputs!A24</f>
        <v>Small PA</v>
      </c>
      <c r="B23" s="19" t="str">
        <f aca="false">Inputs!A32</f>
        <v>Bass heavy</v>
      </c>
      <c r="C23" s="20" t="n">
        <f aca="false">IF(Results!K33="","",Results!K33)</f>
        <v>-56.4268010184215</v>
      </c>
      <c r="D23" s="20" t="n">
        <f aca="false">IF(Results!K34="","",Results!K34)</f>
        <v>-48.5773582438644</v>
      </c>
      <c r="E23" s="20" t="n">
        <f aca="false">IF(Results!K35="","",Results!K35)</f>
        <v>-40.3414216081701</v>
      </c>
      <c r="F23" s="20" t="n">
        <f aca="false">IF(Results!K36="","",Results!K36)</f>
        <v>-34.8917343226625</v>
      </c>
      <c r="G23" s="20" t="n">
        <f aca="false">IF(Results!K37="","",Results!K37)</f>
        <v>-26.5990351215474</v>
      </c>
      <c r="H23" s="20" t="n">
        <f aca="false">IF(Results!K38="","",Results!K38)</f>
        <v>-14.8827899748337</v>
      </c>
    </row>
    <row r="24" customFormat="false" ht="15" hidden="false" customHeight="false" outlineLevel="0" collapsed="false">
      <c r="A24" s="19" t="str">
        <f aca="false">Inputs!A24</f>
        <v>Small PA</v>
      </c>
      <c r="B24" s="19" t="str">
        <f aca="false">Inputs!A33</f>
        <v>Very bass heavy</v>
      </c>
      <c r="C24" s="20" t="n">
        <f aca="false">IF(Results!K51="","",Results!K51)</f>
        <v>-55.6160414455768</v>
      </c>
      <c r="D24" s="20" t="n">
        <f aca="false">IF(Results!K52="","",Results!K52)</f>
        <v>-48.4791240529991</v>
      </c>
      <c r="E24" s="20" t="n">
        <f aca="false">IF(Results!K53="","",Results!K53)</f>
        <v>-40.5306620353255</v>
      </c>
      <c r="F24" s="20" t="n">
        <f aca="false">IF(Results!K54="","",Results!K54)</f>
        <v>-35.0809747498178</v>
      </c>
      <c r="G24" s="20" t="n">
        <f aca="false">IF(Results!K55="","",Results!K55)</f>
        <v>-26.7882755487027</v>
      </c>
      <c r="H24" s="20" t="n">
        <f aca="false">IF(Results!K56="","",Results!K56)</f>
        <v>-18.0720304019891</v>
      </c>
    </row>
    <row r="25" customFormat="false" ht="15" hidden="false" customHeight="false" outlineLevel="0" collapsed="false">
      <c r="A25" s="19" t="str">
        <f aca="false">Inputs!A25</f>
        <v>Medium (2-4 subs)</v>
      </c>
      <c r="B25" s="19" t="str">
        <f aca="false">Inputs!A31</f>
        <v>Balanced</v>
      </c>
      <c r="C25" s="20" t="n">
        <f aca="false">IF(Results!K69="","",Results!K69)</f>
        <v>-64.7159072165927</v>
      </c>
      <c r="D25" s="20" t="n">
        <f aca="false">IF(Results!K70="","",Results!K70)</f>
        <v>-57.731376251116</v>
      </c>
      <c r="E25" s="20" t="n">
        <f aca="false">IF(Results!K71="","",Results!K71)</f>
        <v>-49.7829142334424</v>
      </c>
      <c r="F25" s="20" t="n">
        <f aca="false">IF(Results!K72="","",Results!K72)</f>
        <v>-44.3332269479348</v>
      </c>
      <c r="G25" s="20" t="n">
        <f aca="false">IF(Results!K73="","",Results!K73)</f>
        <v>-36.0405277468197</v>
      </c>
      <c r="H25" s="20" t="n">
        <f aca="false">IF(Results!K74="","",Results!K74)</f>
        <v>-22.2078750513353</v>
      </c>
    </row>
    <row r="26" customFormat="false" ht="15" hidden="false" customHeight="false" outlineLevel="0" collapsed="false">
      <c r="A26" s="19" t="str">
        <f aca="false">Inputs!A25</f>
        <v>Medium (2-4 subs)</v>
      </c>
      <c r="B26" s="19" t="str">
        <f aca="false">Inputs!A32</f>
        <v>Bass heavy</v>
      </c>
      <c r="C26" s="20" t="n">
        <f aca="false">IF(Results!K87="","",Results!K87)</f>
        <v>-62.4839777889267</v>
      </c>
      <c r="D26" s="20" t="n">
        <f aca="false">IF(Results!K88="","",Results!K88)</f>
        <v>-54.6345350143695</v>
      </c>
      <c r="E26" s="20" t="n">
        <f aca="false">IF(Results!K89="","",Results!K89)</f>
        <v>-46.3813001424937</v>
      </c>
      <c r="F26" s="20" t="n">
        <f aca="false">IF(Results!K90="","",Results!K90)</f>
        <v>-40.9316128569861</v>
      </c>
      <c r="G26" s="20" t="n">
        <f aca="false">IF(Results!K91="","",Results!K91)</f>
        <v>-32.6389136558709</v>
      </c>
      <c r="H26" s="20" t="n">
        <f aca="false">IF(Results!K92="","",Results!K92)</f>
        <v>-20.9046067821417</v>
      </c>
    </row>
    <row r="27" customFormat="false" ht="15" hidden="false" customHeight="false" outlineLevel="0" collapsed="false">
      <c r="A27" s="19" t="str">
        <f aca="false">Inputs!A25</f>
        <v>Medium (2-4 subs)</v>
      </c>
      <c r="B27" s="19" t="str">
        <f aca="false">Inputs!A33</f>
        <v>Very bass heavy</v>
      </c>
      <c r="C27" s="20" t="n">
        <f aca="false">IF(Results!K105="","",Results!K105)</f>
        <v>-61.673218216082</v>
      </c>
      <c r="D27" s="20" t="n">
        <f aca="false">IF(Results!K106="","",Results!K106)</f>
        <v>-54.5190025873227</v>
      </c>
      <c r="E27" s="20" t="n">
        <f aca="false">IF(Results!K107="","",Results!K107)</f>
        <v>-46.570540569649</v>
      </c>
      <c r="F27" s="20" t="n">
        <f aca="false">IF(Results!K108="","",Results!K108)</f>
        <v>-41.1208532841414</v>
      </c>
      <c r="G27" s="20" t="n">
        <f aca="false">IF(Results!K109="","",Results!K109)</f>
        <v>-32.8281540830263</v>
      </c>
      <c r="H27" s="20" t="n">
        <f aca="false">IF(Results!K110="","",Results!K110)</f>
        <v>-24.0938472092971</v>
      </c>
    </row>
    <row r="28" customFormat="false" ht="15" hidden="false" customHeight="false" outlineLevel="0" collapsed="false">
      <c r="A28" s="19" t="str">
        <f aca="false">Inputs!A26</f>
        <v>Large</v>
      </c>
      <c r="B28" s="19" t="str">
        <f aca="false">Inputs!A31</f>
        <v>Balanced</v>
      </c>
      <c r="C28" s="20" t="n">
        <f aca="false">IF(Results!K123="","",Results!K123)</f>
        <v>-70.7750643719602</v>
      </c>
      <c r="D28" s="20" t="n">
        <f aca="false">IF(Results!K124="","",Results!K124)</f>
        <v>-63.7905334064835</v>
      </c>
      <c r="E28" s="20" t="n">
        <f aca="false">IF(Results!K125="","",Results!K125)</f>
        <v>-55.8420713888099</v>
      </c>
      <c r="F28" s="20" t="n">
        <f aca="false">IF(Results!K126="","",Results!K126)</f>
        <v>-50.3923841033023</v>
      </c>
      <c r="G28" s="20" t="n">
        <f aca="false">IF(Results!K127="","",Results!K127)</f>
        <v>-42.0996849021872</v>
      </c>
      <c r="H28" s="20" t="n">
        <f aca="false">IF(Results!K128="","",Results!K128)</f>
        <v>-28.2493423114327</v>
      </c>
    </row>
    <row r="29" customFormat="false" ht="15" hidden="false" customHeight="false" outlineLevel="0" collapsed="false">
      <c r="A29" s="19" t="str">
        <f aca="false">Inputs!A26</f>
        <v>Large</v>
      </c>
      <c r="B29" s="19" t="str">
        <f aca="false">Inputs!A32</f>
        <v>Bass heavy</v>
      </c>
      <c r="C29" s="20" t="n">
        <f aca="false">IF(Results!K141="","",Results!K141)</f>
        <v>-68.5777314166574</v>
      </c>
      <c r="D29" s="20" t="n">
        <f aca="false">IF(Results!K142="","",Results!K142)</f>
        <v>-60.7282886421003</v>
      </c>
      <c r="E29" s="20" t="n">
        <f aca="false">IF(Results!K143="","",Results!K143)</f>
        <v>-52.4404572978612</v>
      </c>
      <c r="F29" s="20" t="n">
        <f aca="false">IF(Results!K144="","",Results!K144)</f>
        <v>-46.9907700123536</v>
      </c>
      <c r="G29" s="20" t="n">
        <f aca="false">IF(Results!K145="","",Results!K145)</f>
        <v>-38.6980708112384</v>
      </c>
      <c r="H29" s="20" t="n">
        <f aca="false">IF(Results!K146="","",Results!K146)</f>
        <v>-26.9276404834781</v>
      </c>
    </row>
    <row r="30" customFormat="false" ht="15" hidden="false" customHeight="false" outlineLevel="0" collapsed="false">
      <c r="A30" s="19" t="str">
        <f aca="false">Inputs!A26</f>
        <v>Large</v>
      </c>
      <c r="B30" s="19" t="str">
        <f aca="false">Inputs!A33</f>
        <v>Very bass heavy</v>
      </c>
      <c r="C30" s="20" t="n">
        <f aca="false">IF(Results!K159="","",Results!K159)</f>
        <v>-67.7669718438127</v>
      </c>
      <c r="D30" s="20" t="n">
        <f aca="false">IF(Results!K160="","",Results!K160)</f>
        <v>-60.5781597426902</v>
      </c>
      <c r="E30" s="20" t="n">
        <f aca="false">IF(Results!K161="","",Results!K161)</f>
        <v>-52.6296977250165</v>
      </c>
      <c r="F30" s="20" t="n">
        <f aca="false">IF(Results!K162="","",Results!K162)</f>
        <v>-47.1800104395089</v>
      </c>
      <c r="G30" s="20" t="n">
        <f aca="false">IF(Results!K163="","",Results!K163)</f>
        <v>-38.8873112383938</v>
      </c>
      <c r="H30" s="20" t="n">
        <f aca="false">IF(Results!K164="","",Results!K164)</f>
        <v>-30.1168809106335</v>
      </c>
    </row>
    <row r="31" customFormat="false" ht="15" hidden="false" customHeight="false" outlineLevel="0" collapsed="false">
      <c r="A31" s="19" t="str">
        <f aca="false">Inputs!A27</f>
        <v>Custom (measured)</v>
      </c>
      <c r="B31" s="19" t="str">
        <f aca="false">Inputs!A31</f>
        <v>Balanced</v>
      </c>
      <c r="C31" s="20" t="str">
        <f aca="false">IF(Results!K177="","",Results!K177)</f>
        <v/>
      </c>
      <c r="D31" s="20" t="str">
        <f aca="false">IF(Results!K178="","",Results!K178)</f>
        <v/>
      </c>
      <c r="E31" s="20" t="str">
        <f aca="false">IF(Results!K179="","",Results!K179)</f>
        <v/>
      </c>
      <c r="F31" s="20" t="str">
        <f aca="false">IF(Results!K180="","",Results!K180)</f>
        <v/>
      </c>
      <c r="G31" s="20" t="str">
        <f aca="false">IF(Results!K181="","",Results!K181)</f>
        <v/>
      </c>
      <c r="H31" s="20" t="str">
        <f aca="false">IF(Results!K182="","",Results!K182)</f>
        <v/>
      </c>
    </row>
    <row r="32" customFormat="false" ht="15" hidden="false" customHeight="false" outlineLevel="0" collapsed="false">
      <c r="A32" s="19" t="str">
        <f aca="false">Inputs!A27</f>
        <v>Custom (measured)</v>
      </c>
      <c r="B32" s="19" t="str">
        <f aca="false">Inputs!A32</f>
        <v>Bass heavy</v>
      </c>
      <c r="C32" s="20" t="str">
        <f aca="false">IF(Results!K195="","",Results!K195)</f>
        <v/>
      </c>
      <c r="D32" s="20" t="str">
        <f aca="false">IF(Results!K196="","",Results!K196)</f>
        <v/>
      </c>
      <c r="E32" s="20" t="str">
        <f aca="false">IF(Results!K197="","",Results!K197)</f>
        <v/>
      </c>
      <c r="F32" s="20" t="str">
        <f aca="false">IF(Results!K198="","",Results!K198)</f>
        <v/>
      </c>
      <c r="G32" s="20" t="str">
        <f aca="false">IF(Results!K199="","",Results!K199)</f>
        <v/>
      </c>
      <c r="H32" s="20" t="str">
        <f aca="false">IF(Results!K200="","",Results!K200)</f>
        <v/>
      </c>
    </row>
    <row r="33" customFormat="false" ht="15" hidden="false" customHeight="false" outlineLevel="0" collapsed="false">
      <c r="A33" s="19" t="str">
        <f aca="false">Inputs!A27</f>
        <v>Custom (measured)</v>
      </c>
      <c r="B33" s="19" t="str">
        <f aca="false">Inputs!A33</f>
        <v>Very bass heavy</v>
      </c>
      <c r="C33" s="20" t="str">
        <f aca="false">IF(Results!K213="","",Results!K213)</f>
        <v/>
      </c>
      <c r="D33" s="20" t="str">
        <f aca="false">IF(Results!K214="","",Results!K214)</f>
        <v/>
      </c>
      <c r="E33" s="20" t="str">
        <f aca="false">IF(Results!K215="","",Results!K215)</f>
        <v/>
      </c>
      <c r="F33" s="20" t="str">
        <f aca="false">IF(Results!K216="","",Results!K216)</f>
        <v/>
      </c>
      <c r="G33" s="20" t="str">
        <f aca="false">IF(Results!K217="","",Results!K217)</f>
        <v/>
      </c>
      <c r="H33" s="20" t="str">
        <f aca="false">IF(Results!K218="","",Results!K218)</f>
        <v/>
      </c>
    </row>
    <row r="36" customFormat="false" ht="15" hidden="false" customHeight="false" outlineLevel="0" collapsed="false">
      <c r="A36" s="7" t="s">
        <v>88</v>
      </c>
    </row>
    <row r="37" customFormat="false" ht="15" hidden="false" customHeight="false" outlineLevel="0" collapsed="false">
      <c r="A37" s="13" t="s">
        <v>50</v>
      </c>
      <c r="B37" s="13" t="s">
        <v>63</v>
      </c>
      <c r="C37" s="18" t="n">
        <f aca="false">Inputs!A15</f>
        <v>0.5</v>
      </c>
      <c r="D37" s="18" t="n">
        <f aca="false">Inputs!A16</f>
        <v>1</v>
      </c>
      <c r="E37" s="18" t="n">
        <f aca="false">Inputs!A17</f>
        <v>2</v>
      </c>
      <c r="F37" s="18" t="n">
        <f aca="false">Inputs!A18</f>
        <v>3</v>
      </c>
      <c r="G37" s="18" t="n">
        <f aca="false">Inputs!A19</f>
        <v>5</v>
      </c>
      <c r="H37" s="18" t="n">
        <f aca="false">Inputs!A20</f>
        <v>10</v>
      </c>
    </row>
    <row r="38" customFormat="false" ht="15" hidden="false" customHeight="false" outlineLevel="0" collapsed="false">
      <c r="A38" s="19" t="str">
        <f aca="false">Inputs!A24</f>
        <v>Small PA</v>
      </c>
      <c r="B38" s="19" t="str">
        <f aca="false">Inputs!A31</f>
        <v>Balanced</v>
      </c>
      <c r="C38" s="19" t="str">
        <f aca="false">IF(Results!L15="","",Results!L15)</f>
        <v>no</v>
      </c>
      <c r="D38" s="19" t="str">
        <f aca="false">IF(Results!L16="","",Results!L16)</f>
        <v>no</v>
      </c>
      <c r="E38" s="19" t="str">
        <f aca="false">IF(Results!L17="","",Results!L17)</f>
        <v>no</v>
      </c>
      <c r="F38" s="19" t="str">
        <f aca="false">IF(Results!L18="","",Results!L18)</f>
        <v>no</v>
      </c>
      <c r="G38" s="19" t="str">
        <f aca="false">IF(Results!L19="","",Results!L19)</f>
        <v>no</v>
      </c>
      <c r="H38" s="19" t="str">
        <f aca="false">IF(Results!L20="","",Results!L20)</f>
        <v>no</v>
      </c>
    </row>
    <row r="39" customFormat="false" ht="15" hidden="false" customHeight="false" outlineLevel="0" collapsed="false">
      <c r="A39" s="19" t="str">
        <f aca="false">Inputs!A24</f>
        <v>Small PA</v>
      </c>
      <c r="B39" s="19" t="str">
        <f aca="false">Inputs!A32</f>
        <v>Bass heavy</v>
      </c>
      <c r="C39" s="19" t="str">
        <f aca="false">IF(Results!L33="","",Results!L33)</f>
        <v>no</v>
      </c>
      <c r="D39" s="19" t="str">
        <f aca="false">IF(Results!L34="","",Results!L34)</f>
        <v>no</v>
      </c>
      <c r="E39" s="19" t="str">
        <f aca="false">IF(Results!L35="","",Results!L35)</f>
        <v>no</v>
      </c>
      <c r="F39" s="19" t="str">
        <f aca="false">IF(Results!L36="","",Results!L36)</f>
        <v>no</v>
      </c>
      <c r="G39" s="19" t="str">
        <f aca="false">IF(Results!L37="","",Results!L37)</f>
        <v>no</v>
      </c>
      <c r="H39" s="19" t="str">
        <f aca="false">IF(Results!L38="","",Results!L38)</f>
        <v>no</v>
      </c>
    </row>
    <row r="40" customFormat="false" ht="15" hidden="false" customHeight="false" outlineLevel="0" collapsed="false">
      <c r="A40" s="19" t="str">
        <f aca="false">Inputs!A24</f>
        <v>Small PA</v>
      </c>
      <c r="B40" s="19" t="str">
        <f aca="false">Inputs!A33</f>
        <v>Very bass heavy</v>
      </c>
      <c r="C40" s="19" t="str">
        <f aca="false">IF(Results!L51="","",Results!L51)</f>
        <v>no</v>
      </c>
      <c r="D40" s="19" t="str">
        <f aca="false">IF(Results!L52="","",Results!L52)</f>
        <v>no</v>
      </c>
      <c r="E40" s="19" t="str">
        <f aca="false">IF(Results!L53="","",Results!L53)</f>
        <v>no</v>
      </c>
      <c r="F40" s="19" t="str">
        <f aca="false">IF(Results!L54="","",Results!L54)</f>
        <v>no</v>
      </c>
      <c r="G40" s="19" t="str">
        <f aca="false">IF(Results!L55="","",Results!L55)</f>
        <v>no</v>
      </c>
      <c r="H40" s="19" t="str">
        <f aca="false">IF(Results!L56="","",Results!L56)</f>
        <v>no</v>
      </c>
    </row>
    <row r="41" customFormat="false" ht="15" hidden="false" customHeight="false" outlineLevel="0" collapsed="false">
      <c r="A41" s="19" t="str">
        <f aca="false">Inputs!A25</f>
        <v>Medium (2-4 subs)</v>
      </c>
      <c r="B41" s="19" t="str">
        <f aca="false">Inputs!A31</f>
        <v>Balanced</v>
      </c>
      <c r="C41" s="19" t="str">
        <f aca="false">IF(Results!L69="","",Results!L69)</f>
        <v>no</v>
      </c>
      <c r="D41" s="19" t="str">
        <f aca="false">IF(Results!L70="","",Results!L70)</f>
        <v>no</v>
      </c>
      <c r="E41" s="19" t="str">
        <f aca="false">IF(Results!L71="","",Results!L71)</f>
        <v>no</v>
      </c>
      <c r="F41" s="19" t="str">
        <f aca="false">IF(Results!L72="","",Results!L72)</f>
        <v>no</v>
      </c>
      <c r="G41" s="19" t="str">
        <f aca="false">IF(Results!L73="","",Results!L73)</f>
        <v>no</v>
      </c>
      <c r="H41" s="19" t="str">
        <f aca="false">IF(Results!L74="","",Results!L74)</f>
        <v>no</v>
      </c>
    </row>
    <row r="42" customFormat="false" ht="15" hidden="false" customHeight="false" outlineLevel="0" collapsed="false">
      <c r="A42" s="19" t="str">
        <f aca="false">Inputs!A25</f>
        <v>Medium (2-4 subs)</v>
      </c>
      <c r="B42" s="19" t="str">
        <f aca="false">Inputs!A32</f>
        <v>Bass heavy</v>
      </c>
      <c r="C42" s="19" t="str">
        <f aca="false">IF(Results!L87="","",Results!L87)</f>
        <v>no</v>
      </c>
      <c r="D42" s="19" t="str">
        <f aca="false">IF(Results!L88="","",Results!L88)</f>
        <v>no</v>
      </c>
      <c r="E42" s="19" t="str">
        <f aca="false">IF(Results!L89="","",Results!L89)</f>
        <v>no</v>
      </c>
      <c r="F42" s="19" t="str">
        <f aca="false">IF(Results!L90="","",Results!L90)</f>
        <v>no</v>
      </c>
      <c r="G42" s="19" t="str">
        <f aca="false">IF(Results!L91="","",Results!L91)</f>
        <v>no</v>
      </c>
      <c r="H42" s="19" t="str">
        <f aca="false">IF(Results!L92="","",Results!L92)</f>
        <v>no</v>
      </c>
    </row>
    <row r="43" customFormat="false" ht="15" hidden="false" customHeight="false" outlineLevel="0" collapsed="false">
      <c r="A43" s="19" t="str">
        <f aca="false">Inputs!A25</f>
        <v>Medium (2-4 subs)</v>
      </c>
      <c r="B43" s="19" t="str">
        <f aca="false">Inputs!A33</f>
        <v>Very bass heavy</v>
      </c>
      <c r="C43" s="19" t="str">
        <f aca="false">IF(Results!L105="","",Results!L105)</f>
        <v>no</v>
      </c>
      <c r="D43" s="19" t="str">
        <f aca="false">IF(Results!L106="","",Results!L106)</f>
        <v>no</v>
      </c>
      <c r="E43" s="19" t="str">
        <f aca="false">IF(Results!L107="","",Results!L107)</f>
        <v>no</v>
      </c>
      <c r="F43" s="19" t="str">
        <f aca="false">IF(Results!L108="","",Results!L108)</f>
        <v>no</v>
      </c>
      <c r="G43" s="19" t="str">
        <f aca="false">IF(Results!L109="","",Results!L109)</f>
        <v>no</v>
      </c>
      <c r="H43" s="19" t="str">
        <f aca="false">IF(Results!L110="","",Results!L110)</f>
        <v>no</v>
      </c>
    </row>
    <row r="44" customFormat="false" ht="15" hidden="false" customHeight="false" outlineLevel="0" collapsed="false">
      <c r="A44" s="19" t="str">
        <f aca="false">Inputs!A26</f>
        <v>Large</v>
      </c>
      <c r="B44" s="19" t="str">
        <f aca="false">Inputs!A31</f>
        <v>Balanced</v>
      </c>
      <c r="C44" s="19" t="str">
        <f aca="false">IF(Results!L123="","",Results!L123)</f>
        <v>no</v>
      </c>
      <c r="D44" s="19" t="str">
        <f aca="false">IF(Results!L124="","",Results!L124)</f>
        <v>no</v>
      </c>
      <c r="E44" s="19" t="str">
        <f aca="false">IF(Results!L125="","",Results!L125)</f>
        <v>no</v>
      </c>
      <c r="F44" s="19" t="str">
        <f aca="false">IF(Results!L126="","",Results!L126)</f>
        <v>no</v>
      </c>
      <c r="G44" s="19" t="str">
        <f aca="false">IF(Results!L127="","",Results!L127)</f>
        <v>no</v>
      </c>
      <c r="H44" s="19" t="str">
        <f aca="false">IF(Results!L128="","",Results!L128)</f>
        <v>no</v>
      </c>
    </row>
    <row r="45" customFormat="false" ht="15" hidden="false" customHeight="false" outlineLevel="0" collapsed="false">
      <c r="A45" s="19" t="str">
        <f aca="false">Inputs!A26</f>
        <v>Large</v>
      </c>
      <c r="B45" s="19" t="str">
        <f aca="false">Inputs!A32</f>
        <v>Bass heavy</v>
      </c>
      <c r="C45" s="19" t="str">
        <f aca="false">IF(Results!L141="","",Results!L141)</f>
        <v>no</v>
      </c>
      <c r="D45" s="19" t="str">
        <f aca="false">IF(Results!L142="","",Results!L142)</f>
        <v>no</v>
      </c>
      <c r="E45" s="19" t="str">
        <f aca="false">IF(Results!L143="","",Results!L143)</f>
        <v>no</v>
      </c>
      <c r="F45" s="19" t="str">
        <f aca="false">IF(Results!L144="","",Results!L144)</f>
        <v>no</v>
      </c>
      <c r="G45" s="19" t="str">
        <f aca="false">IF(Results!L145="","",Results!L145)</f>
        <v>no</v>
      </c>
      <c r="H45" s="19" t="str">
        <f aca="false">IF(Results!L146="","",Results!L146)</f>
        <v>no</v>
      </c>
    </row>
    <row r="46" customFormat="false" ht="15" hidden="false" customHeight="false" outlineLevel="0" collapsed="false">
      <c r="A46" s="19" t="str">
        <f aca="false">Inputs!A26</f>
        <v>Large</v>
      </c>
      <c r="B46" s="19" t="str">
        <f aca="false">Inputs!A33</f>
        <v>Very bass heavy</v>
      </c>
      <c r="C46" s="19" t="str">
        <f aca="false">IF(Results!L159="","",Results!L159)</f>
        <v>no</v>
      </c>
      <c r="D46" s="19" t="str">
        <f aca="false">IF(Results!L160="","",Results!L160)</f>
        <v>no</v>
      </c>
      <c r="E46" s="19" t="str">
        <f aca="false">IF(Results!L161="","",Results!L161)</f>
        <v>no</v>
      </c>
      <c r="F46" s="19" t="str">
        <f aca="false">IF(Results!L162="","",Results!L162)</f>
        <v>no</v>
      </c>
      <c r="G46" s="19" t="str">
        <f aca="false">IF(Results!L163="","",Results!L163)</f>
        <v>no</v>
      </c>
      <c r="H46" s="19" t="str">
        <f aca="false">IF(Results!L164="","",Results!L164)</f>
        <v>no</v>
      </c>
    </row>
    <row r="47" customFormat="false" ht="15" hidden="false" customHeight="false" outlineLevel="0" collapsed="false">
      <c r="A47" s="19" t="str">
        <f aca="false">Inputs!A27</f>
        <v>Custom (measured)</v>
      </c>
      <c r="B47" s="19" t="str">
        <f aca="false">Inputs!A31</f>
        <v>Balanced</v>
      </c>
      <c r="C47" s="19" t="str">
        <f aca="false">IF(Results!L177="","",Results!L177)</f>
        <v/>
      </c>
      <c r="D47" s="19" t="str">
        <f aca="false">IF(Results!L178="","",Results!L178)</f>
        <v/>
      </c>
      <c r="E47" s="19" t="str">
        <f aca="false">IF(Results!L179="","",Results!L179)</f>
        <v/>
      </c>
      <c r="F47" s="19" t="str">
        <f aca="false">IF(Results!L180="","",Results!L180)</f>
        <v/>
      </c>
      <c r="G47" s="19" t="str">
        <f aca="false">IF(Results!L181="","",Results!L181)</f>
        <v/>
      </c>
      <c r="H47" s="19" t="str">
        <f aca="false">IF(Results!L182="","",Results!L182)</f>
        <v/>
      </c>
    </row>
    <row r="48" customFormat="false" ht="15" hidden="false" customHeight="false" outlineLevel="0" collapsed="false">
      <c r="A48" s="19" t="str">
        <f aca="false">Inputs!A27</f>
        <v>Custom (measured)</v>
      </c>
      <c r="B48" s="19" t="str">
        <f aca="false">Inputs!A32</f>
        <v>Bass heavy</v>
      </c>
      <c r="C48" s="19" t="str">
        <f aca="false">IF(Results!L195="","",Results!L195)</f>
        <v/>
      </c>
      <c r="D48" s="19" t="str">
        <f aca="false">IF(Results!L196="","",Results!L196)</f>
        <v/>
      </c>
      <c r="E48" s="19" t="str">
        <f aca="false">IF(Results!L197="","",Results!L197)</f>
        <v/>
      </c>
      <c r="F48" s="19" t="str">
        <f aca="false">IF(Results!L198="","",Results!L198)</f>
        <v/>
      </c>
      <c r="G48" s="19" t="str">
        <f aca="false">IF(Results!L199="","",Results!L199)</f>
        <v/>
      </c>
      <c r="H48" s="19" t="str">
        <f aca="false">IF(Results!L200="","",Results!L200)</f>
        <v/>
      </c>
    </row>
    <row r="49" customFormat="false" ht="15" hidden="false" customHeight="false" outlineLevel="0" collapsed="false">
      <c r="A49" s="19" t="str">
        <f aca="false">Inputs!A27</f>
        <v>Custom (measured)</v>
      </c>
      <c r="B49" s="19" t="str">
        <f aca="false">Inputs!A33</f>
        <v>Very bass heavy</v>
      </c>
      <c r="C49" s="19" t="str">
        <f aca="false">IF(Results!L213="","",Results!L213)</f>
        <v/>
      </c>
      <c r="D49" s="19" t="str">
        <f aca="false">IF(Results!L214="","",Results!L214)</f>
        <v/>
      </c>
      <c r="E49" s="19" t="str">
        <f aca="false">IF(Results!L215="","",Results!L215)</f>
        <v/>
      </c>
      <c r="F49" s="19" t="str">
        <f aca="false">IF(Results!L216="","",Results!L216)</f>
        <v/>
      </c>
      <c r="G49" s="19" t="str">
        <f aca="false">IF(Results!L217="","",Results!L217)</f>
        <v/>
      </c>
      <c r="H49" s="19" t="str">
        <f aca="false">IF(Results!L218="","",Results!L218)</f>
        <v/>
      </c>
    </row>
  </sheetData>
  <conditionalFormatting sqref="C6:H17">
    <cfRule type="expression" priority="2" aboveAverage="0" equalAverage="0" bottom="0" percent="0" rank="0" text="" dxfId="0">
      <formula>AND(ISNUMBER(C6),C6&gt;=0)</formula>
    </cfRule>
    <cfRule type="expression" priority="3" aboveAverage="0" equalAverage="0" bottom="0" percent="0" rank="0" text="" dxfId="1">
      <formula>AND(ISNUMBER(C6),C6&lt;0)</formula>
    </cfRule>
    <cfRule type="expression" priority="4" aboveAverage="0" equalAverage="0" bottom="0" percent="0" rank="0" text="" dxfId="0">
      <formula>C6="yes"</formula>
    </cfRule>
    <cfRule type="expression" priority="5" aboveAverage="0" equalAverage="0" bottom="0" percent="0" rank="0" text="" dxfId="1">
      <formula>C6="no"</formula>
    </cfRule>
  </conditionalFormatting>
  <conditionalFormatting sqref="C22:H33">
    <cfRule type="expression" priority="6" aboveAverage="0" equalAverage="0" bottom="0" percent="0" rank="0" text="" dxfId="0">
      <formula>AND(ISNUMBER(C22),C22&gt;=0)</formula>
    </cfRule>
    <cfRule type="expression" priority="7" aboveAverage="0" equalAverage="0" bottom="0" percent="0" rank="0" text="" dxfId="1">
      <formula>AND(ISNUMBER(C22),C22&lt;0)</formula>
    </cfRule>
    <cfRule type="expression" priority="8" aboveAverage="0" equalAverage="0" bottom="0" percent="0" rank="0" text="" dxfId="0">
      <formula>C22="yes"</formula>
    </cfRule>
    <cfRule type="expression" priority="9" aboveAverage="0" equalAverage="0" bottom="0" percent="0" rank="0" text="" dxfId="1">
      <formula>C22="no"</formula>
    </cfRule>
  </conditionalFormatting>
  <conditionalFormatting sqref="C38:H49">
    <cfRule type="expression" priority="10" aboveAverage="0" equalAverage="0" bottom="0" percent="0" rank="0" text="" dxfId="0">
      <formula>AND(ISNUMBER(C38),C38&gt;=0)</formula>
    </cfRule>
    <cfRule type="expression" priority="11" aboveAverage="0" equalAverage="0" bottom="0" percent="0" rank="0" text="" dxfId="1">
      <formula>AND(ISNUMBER(C38),C38&lt;0)</formula>
    </cfRule>
    <cfRule type="expression" priority="12" aboveAverage="0" equalAverage="0" bottom="0" percent="0" rank="0" text="" dxfId="0">
      <formula>C38="yes"</formula>
    </cfRule>
    <cfRule type="expression" priority="13" aboveAverage="0" equalAverage="0" bottom="0" percent="0" rank="0" text="" dxfId="1">
      <formula>C38="no"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0" min="2" style="0" width="10"/>
    <col collapsed="false" customWidth="true" hidden="false" outlineLevel="0" max="11" min="11" style="0" width="70"/>
  </cols>
  <sheetData>
    <row r="1" customFormat="false" ht="16.15" hidden="false" customHeight="false" outlineLevel="0" collapsed="false">
      <c r="A1" s="5" t="s">
        <v>89</v>
      </c>
    </row>
    <row r="3" customFormat="false" ht="15" hidden="false" customHeight="false" outlineLevel="0" collapsed="false">
      <c r="A3" s="13" t="s">
        <v>90</v>
      </c>
      <c r="B3" s="13" t="s">
        <v>64</v>
      </c>
      <c r="C3" s="13" t="s">
        <v>65</v>
      </c>
      <c r="D3" s="13" t="s">
        <v>66</v>
      </c>
      <c r="E3" s="13" t="s">
        <v>67</v>
      </c>
      <c r="F3" s="13" t="s">
        <v>68</v>
      </c>
      <c r="G3" s="13" t="s">
        <v>69</v>
      </c>
      <c r="H3" s="13" t="s">
        <v>70</v>
      </c>
      <c r="I3" s="13" t="s">
        <v>71</v>
      </c>
      <c r="J3" s="13" t="s">
        <v>72</v>
      </c>
      <c r="K3" s="13" t="s">
        <v>75</v>
      </c>
    </row>
    <row r="4" customFormat="false" ht="15" hidden="false" customHeight="false" outlineLevel="0" collapsed="false">
      <c r="A4" s="8" t="s">
        <v>91</v>
      </c>
      <c r="B4" s="21" t="n">
        <v>31.5</v>
      </c>
      <c r="C4" s="21" t="n">
        <v>63</v>
      </c>
      <c r="D4" s="21" t="n">
        <v>125</v>
      </c>
      <c r="E4" s="21" t="n">
        <v>250</v>
      </c>
      <c r="F4" s="21" t="n">
        <v>500</v>
      </c>
      <c r="G4" s="21" t="n">
        <v>1000</v>
      </c>
      <c r="H4" s="21" t="n">
        <v>2000</v>
      </c>
      <c r="I4" s="21" t="n">
        <v>4000</v>
      </c>
      <c r="J4" s="21" t="n">
        <v>8000</v>
      </c>
      <c r="K4" s="6" t="s">
        <v>92</v>
      </c>
    </row>
    <row r="5" customFormat="false" ht="15" hidden="false" customHeight="false" outlineLevel="0" collapsed="false">
      <c r="A5" s="8" t="s">
        <v>93</v>
      </c>
      <c r="B5" s="22" t="n">
        <v>-5</v>
      </c>
      <c r="C5" s="22" t="n">
        <v>-4</v>
      </c>
      <c r="D5" s="22" t="n">
        <v>-3</v>
      </c>
      <c r="E5" s="22" t="n">
        <v>-2</v>
      </c>
      <c r="F5" s="22" t="n">
        <v>-1</v>
      </c>
      <c r="G5" s="22" t="n">
        <v>0</v>
      </c>
      <c r="H5" s="22" t="n">
        <v>1</v>
      </c>
      <c r="I5" s="22" t="n">
        <v>2</v>
      </c>
      <c r="J5" s="22" t="n">
        <v>3</v>
      </c>
      <c r="K5" s="6" t="s">
        <v>94</v>
      </c>
    </row>
    <row r="6" customFormat="false" ht="15" hidden="false" customHeight="false" outlineLevel="0" collapsed="false">
      <c r="A6" s="8" t="s">
        <v>95</v>
      </c>
      <c r="B6" s="17" t="n">
        <f aca="false">1000*10^(0.3*B5)</f>
        <v>31.6227766016838</v>
      </c>
      <c r="C6" s="17" t="n">
        <f aca="false">1000*10^(0.3*C5)</f>
        <v>63.0957344480193</v>
      </c>
      <c r="D6" s="17" t="n">
        <f aca="false">1000*10^(0.3*D5)</f>
        <v>125.892541179417</v>
      </c>
      <c r="E6" s="17" t="n">
        <f aca="false">1000*10^(0.3*E5)</f>
        <v>251.188643150958</v>
      </c>
      <c r="F6" s="17" t="n">
        <f aca="false">1000*10^(0.3*F5)</f>
        <v>501.187233627272</v>
      </c>
      <c r="G6" s="17" t="n">
        <f aca="false">1000*10^(0.3*G5)</f>
        <v>1000</v>
      </c>
      <c r="H6" s="17" t="n">
        <f aca="false">1000*10^(0.3*H5)</f>
        <v>1995.26231496888</v>
      </c>
      <c r="I6" s="17" t="n">
        <f aca="false">1000*10^(0.3*I5)</f>
        <v>3981.07170553497</v>
      </c>
      <c r="J6" s="17" t="n">
        <f aca="false">1000*10^(0.3*J5)</f>
        <v>7943.28234724281</v>
      </c>
      <c r="K6" s="6" t="s">
        <v>96</v>
      </c>
    </row>
    <row r="7" customFormat="false" ht="15" hidden="false" customHeight="false" outlineLevel="0" collapsed="false">
      <c r="A7" s="8" t="s">
        <v>97</v>
      </c>
      <c r="B7" s="21" t="n">
        <v>-39.4</v>
      </c>
      <c r="C7" s="21" t="n">
        <v>-26.2</v>
      </c>
      <c r="D7" s="21" t="n">
        <v>-16.1</v>
      </c>
      <c r="E7" s="21" t="n">
        <v>-8.6</v>
      </c>
      <c r="F7" s="21" t="n">
        <v>-3.2</v>
      </c>
      <c r="G7" s="21" t="n">
        <v>0</v>
      </c>
      <c r="H7" s="21" t="n">
        <v>1.2</v>
      </c>
      <c r="I7" s="21" t="n">
        <v>1</v>
      </c>
      <c r="J7" s="21" t="n">
        <v>-1.1</v>
      </c>
      <c r="K7" s="6" t="s">
        <v>98</v>
      </c>
    </row>
    <row r="8" customFormat="false" ht="15" hidden="false" customHeight="false" outlineLevel="0" collapsed="false">
      <c r="A8" s="8" t="s">
        <v>99</v>
      </c>
      <c r="B8" s="21" t="n">
        <v>-3</v>
      </c>
      <c r="C8" s="21" t="n">
        <v>-0.8</v>
      </c>
      <c r="D8" s="21" t="n">
        <v>-0.2</v>
      </c>
      <c r="E8" s="21" t="n">
        <v>0</v>
      </c>
      <c r="F8" s="21" t="n">
        <v>0</v>
      </c>
      <c r="G8" s="21" t="n">
        <v>0</v>
      </c>
      <c r="H8" s="21" t="n">
        <v>-0.2</v>
      </c>
      <c r="I8" s="21" t="n">
        <v>-0.8</v>
      </c>
      <c r="J8" s="21" t="n">
        <v>-3</v>
      </c>
      <c r="K8" s="6" t="s">
        <v>98</v>
      </c>
    </row>
    <row r="9" customFormat="false" ht="15" hidden="false" customHeight="false" outlineLevel="0" collapsed="false">
      <c r="A9" s="8" t="s">
        <v>100</v>
      </c>
      <c r="B9" s="21" t="n">
        <v>59.5</v>
      </c>
      <c r="C9" s="21" t="n">
        <v>37.5</v>
      </c>
      <c r="D9" s="21" t="n">
        <v>22.1</v>
      </c>
      <c r="E9" s="21" t="n">
        <v>11.4</v>
      </c>
      <c r="F9" s="21" t="n">
        <v>4.4</v>
      </c>
      <c r="G9" s="21" t="n">
        <v>2.4</v>
      </c>
      <c r="H9" s="21" t="n">
        <v>-1.3</v>
      </c>
      <c r="I9" s="21" t="n">
        <v>-5.4</v>
      </c>
      <c r="J9" s="21" t="n">
        <v>12.6</v>
      </c>
      <c r="K9" s="6" t="s">
        <v>101</v>
      </c>
    </row>
    <row r="10" customFormat="false" ht="15" hidden="false" customHeight="false" outlineLevel="0" collapsed="false">
      <c r="A10" s="7" t="s">
        <v>102</v>
      </c>
      <c r="B10" s="23" t="n">
        <f aca="false">1000*8.686*B6^2*(0.0000000000184/$B$15*($B$14/293.15)^0.5+($B$14/293.15)^(-2.5)*(0.01275*EXP(-2239.1/$B$14)/($B$18+B6^2/$B$18)+0.1068*EXP(-3352/$B$14)/($B$19+B6^2/$B$19)))</f>
        <v>0.0320289992867723</v>
      </c>
      <c r="C10" s="23" t="n">
        <f aca="false">1000*8.686*C6^2*(0.0000000000184/$B$15*($B$14/293.15)^0.5+($B$14/293.15)^(-2.5)*(0.01275*EXP(-2239.1/$B$14)/($B$18+C6^2/$B$18)+0.1068*EXP(-3352/$B$14)/($B$19+C6^2/$B$19)))</f>
        <v>0.121689402838848</v>
      </c>
      <c r="D10" s="23" t="n">
        <f aca="false">1000*8.686*D6^2*(0.0000000000184/$B$15*($B$14/293.15)^0.5+($B$14/293.15)^(-2.5)*(0.01275*EXP(-2239.1/$B$14)/($B$18+D6^2/$B$18)+0.1068*EXP(-3352/$B$14)/($B$19+D6^2/$B$19)))</f>
        <v>0.410950269295179</v>
      </c>
      <c r="E10" s="23" t="n">
        <f aca="false">1000*8.686*E6^2*(0.0000000000184/$B$15*($B$14/293.15)^0.5+($B$14/293.15)^(-2.5)*(0.01275*EXP(-2239.1/$B$14)/($B$18+E6^2/$B$18)+0.1068*EXP(-3352/$B$14)/($B$19+E6^2/$B$19)))</f>
        <v>1.04336734089047</v>
      </c>
      <c r="F10" s="23" t="n">
        <f aca="false">1000*8.686*F6^2*(0.0000000000184/$B$15*($B$14/293.15)^0.5+($B$14/293.15)^(-2.5)*(0.01275*EXP(-2239.1/$B$14)/($B$18+F6^2/$B$18)+0.1068*EXP(-3352/$B$14)/($B$19+F6^2/$B$19)))</f>
        <v>1.927862104394</v>
      </c>
      <c r="G10" s="23" t="n">
        <f aca="false">1000*8.686*G6^2*(0.0000000000184/$B$15*($B$14/293.15)^0.5+($B$14/293.15)^(-2.5)*(0.01275*EXP(-2239.1/$B$14)/($B$18+G6^2/$B$18)+0.1068*EXP(-3352/$B$14)/($B$19+G6^2/$B$19)))</f>
        <v>3.657685722555</v>
      </c>
      <c r="H10" s="23" t="n">
        <f aca="false">1000*8.686*H6^2*(0.0000000000184/$B$15*($B$14/293.15)^0.5+($B$14/293.15)^(-2.5)*(0.01275*EXP(-2239.1/$B$14)/($B$18+H6^2/$B$18)+0.1068*EXP(-3352/$B$14)/($B$19+H6^2/$B$19)))</f>
        <v>9.66394536523242</v>
      </c>
      <c r="I10" s="23" t="n">
        <f aca="false">1000*8.686*I6^2*(0.0000000000184/$B$15*($B$14/293.15)^0.5+($B$14/293.15)^(-2.5)*(0.01275*EXP(-2239.1/$B$14)/($B$18+I6^2/$B$18)+0.1068*EXP(-3352/$B$14)/($B$19+I6^2/$B$19)))</f>
        <v>32.7701296112032</v>
      </c>
      <c r="J10" s="23" t="n">
        <f aca="false">1000*8.686*J6^2*(0.0000000000184/$B$15*($B$14/293.15)^0.5+($B$14/293.15)^(-2.5)*(0.01275*EXP(-2239.1/$B$14)/($B$18+J6^2/$B$18)+0.1068*EXP(-3352/$B$14)/($B$19+J6^2/$B$19)))</f>
        <v>116.882044491601</v>
      </c>
      <c r="K10" s="6" t="s">
        <v>103</v>
      </c>
    </row>
    <row r="13" customFormat="false" ht="15" hidden="false" customHeight="false" outlineLevel="0" collapsed="false">
      <c r="A13" s="7" t="s">
        <v>104</v>
      </c>
    </row>
    <row r="14" customFormat="false" ht="15" hidden="false" customHeight="false" outlineLevel="0" collapsed="false">
      <c r="A14" s="8" t="s">
        <v>105</v>
      </c>
      <c r="B14" s="24" t="n">
        <f aca="false">Inputs!B5+273.15</f>
        <v>283.15</v>
      </c>
    </row>
    <row r="15" customFormat="false" ht="15" hidden="false" customHeight="false" outlineLevel="0" collapsed="false">
      <c r="A15" s="8" t="s">
        <v>106</v>
      </c>
      <c r="B15" s="24" t="n">
        <f aca="false">Inputs!B7/101.325</f>
        <v>1</v>
      </c>
    </row>
    <row r="16" customFormat="false" ht="15" hidden="false" customHeight="false" outlineLevel="0" collapsed="false">
      <c r="A16" s="8" t="s">
        <v>107</v>
      </c>
      <c r="B16" s="25" t="n">
        <f aca="false">-6.8346*(273.16/B14)^1.261+4.6151</f>
        <v>-1.916839909056</v>
      </c>
    </row>
    <row r="17" customFormat="false" ht="15" hidden="false" customHeight="false" outlineLevel="0" collapsed="false">
      <c r="A17" s="8" t="s">
        <v>108</v>
      </c>
      <c r="B17" s="24" t="n">
        <f aca="false">Inputs!B6*10^B16/B15</f>
        <v>0.84773112910627</v>
      </c>
    </row>
    <row r="18" customFormat="false" ht="15" hidden="false" customHeight="false" outlineLevel="0" collapsed="false">
      <c r="A18" s="8" t="s">
        <v>109</v>
      </c>
      <c r="B18" s="25" t="n">
        <f aca="false">B15*(24+40400*B17*(0.02+B17)/(0.391+B17))</f>
        <v>24014.9597580657</v>
      </c>
    </row>
    <row r="19" customFormat="false" ht="15" hidden="false" customHeight="false" outlineLevel="0" collapsed="false">
      <c r="A19" s="8" t="s">
        <v>110</v>
      </c>
      <c r="B19" s="25" t="n">
        <f aca="false">B15*(B14/293.15)^(-0.5)*(9+280*B17*EXP(-4.17*((B14/293.15)^(-1/3)-1)))</f>
        <v>239.237738246262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10"/>
  </cols>
  <sheetData>
    <row r="1" customFormat="false" ht="16.15" hidden="false" customHeight="false" outlineLevel="0" collapsed="false">
      <c r="A1" s="5" t="s">
        <v>111</v>
      </c>
    </row>
    <row r="2" customFormat="false" ht="15" hidden="false" customHeight="false" outlineLevel="0" collapsed="false">
      <c r="A2" s="6" t="s">
        <v>112</v>
      </c>
    </row>
    <row r="4" customFormat="false" ht="15" hidden="false" customHeight="false" outlineLevel="0" collapsed="false">
      <c r="A4" s="7" t="s">
        <v>113</v>
      </c>
    </row>
    <row r="5" customFormat="false" ht="15" hidden="false" customHeight="false" outlineLevel="0" collapsed="false">
      <c r="A5" s="13" t="s">
        <v>114</v>
      </c>
      <c r="B5" s="13" t="s">
        <v>64</v>
      </c>
      <c r="C5" s="13" t="s">
        <v>65</v>
      </c>
      <c r="D5" s="13" t="s">
        <v>66</v>
      </c>
      <c r="E5" s="13" t="s">
        <v>67</v>
      </c>
      <c r="F5" s="13" t="s">
        <v>68</v>
      </c>
      <c r="G5" s="13" t="s">
        <v>69</v>
      </c>
      <c r="H5" s="13" t="s">
        <v>70</v>
      </c>
      <c r="I5" s="13" t="s">
        <v>71</v>
      </c>
      <c r="J5" s="13" t="s">
        <v>72</v>
      </c>
    </row>
    <row r="6" customFormat="false" ht="15" hidden="false" customHeight="false" outlineLevel="0" collapsed="false">
      <c r="A6" s="20" t="n">
        <f aca="false">Inputs!A15</f>
        <v>0.5</v>
      </c>
      <c r="B6" s="17" t="n">
        <f aca="false">20*LOG10($A6*1000)+Reference!B$10*($A6*1000-1)/1000</f>
        <v>53.9953825573645</v>
      </c>
      <c r="C6" s="17" t="n">
        <f aca="false">20*LOG10($A6*1000)+Reference!C$10*($A6*1000-1)/1000</f>
        <v>54.040123098737</v>
      </c>
      <c r="D6" s="17" t="n">
        <f aca="false">20*LOG10($A6*1000)+Reference!D$10*($A6*1000-1)/1000</f>
        <v>54.1844642710987</v>
      </c>
      <c r="E6" s="17" t="n">
        <f aca="false">20*LOG10($A6*1000)+Reference!E$10*($A6*1000-1)/1000</f>
        <v>54.5000403898247</v>
      </c>
      <c r="F6" s="17" t="n">
        <f aca="false">20*LOG10($A6*1000)+Reference!F$10*($A6*1000-1)/1000</f>
        <v>54.941403276813</v>
      </c>
      <c r="G6" s="17" t="n">
        <f aca="false">20*LOG10($A6*1000)+Reference!G$10*($A6*1000-1)/1000</f>
        <v>55.8045852622753</v>
      </c>
      <c r="H6" s="17" t="n">
        <f aca="false">20*LOG10($A6*1000)+Reference!H$10*($A6*1000-1)/1000</f>
        <v>58.8017088239714</v>
      </c>
      <c r="I6" s="17" t="n">
        <f aca="false">20*LOG10($A6*1000)+Reference!I$10*($A6*1000-1)/1000</f>
        <v>70.3316947627108</v>
      </c>
      <c r="J6" s="17" t="n">
        <f aca="false">20*LOG10($A6*1000)+Reference!J$10*($A6*1000-1)/1000</f>
        <v>112.303540288029</v>
      </c>
    </row>
    <row r="7" customFormat="false" ht="15" hidden="false" customHeight="false" outlineLevel="0" collapsed="false">
      <c r="A7" s="20" t="n">
        <f aca="false">Inputs!A16</f>
        <v>1</v>
      </c>
      <c r="B7" s="17" t="n">
        <f aca="false">20*LOG10($A7*1000)+Reference!B$10*($A7*1000-1)/1000</f>
        <v>60.0319969702875</v>
      </c>
      <c r="C7" s="17" t="n">
        <f aca="false">20*LOG10($A7*1000)+Reference!C$10*($A7*1000-1)/1000</f>
        <v>60.121567713436</v>
      </c>
      <c r="D7" s="17" t="n">
        <f aca="false">20*LOG10($A7*1000)+Reference!D$10*($A7*1000-1)/1000</f>
        <v>60.4105393190259</v>
      </c>
      <c r="E7" s="17" t="n">
        <f aca="false">20*LOG10($A7*1000)+Reference!E$10*($A7*1000-1)/1000</f>
        <v>61.0423239735496</v>
      </c>
      <c r="F7" s="17" t="n">
        <f aca="false">20*LOG10($A7*1000)+Reference!F$10*($A7*1000-1)/1000</f>
        <v>61.9259342422896</v>
      </c>
      <c r="G7" s="17" t="n">
        <f aca="false">20*LOG10($A7*1000)+Reference!G$10*($A7*1000-1)/1000</f>
        <v>63.6540280368325</v>
      </c>
      <c r="H7" s="17" t="n">
        <f aca="false">20*LOG10($A7*1000)+Reference!H$10*($A7*1000-1)/1000</f>
        <v>69.6542814198672</v>
      </c>
      <c r="I7" s="17" t="n">
        <f aca="false">20*LOG10($A7*1000)+Reference!I$10*($A7*1000-1)/1000</f>
        <v>92.737359481592</v>
      </c>
      <c r="J7" s="17" t="n">
        <f aca="false">20*LOG10($A7*1000)+Reference!J$10*($A7*1000-1)/1000</f>
        <v>176.76516244711</v>
      </c>
    </row>
    <row r="8" customFormat="false" ht="15" hidden="false" customHeight="false" outlineLevel="0" collapsed="false">
      <c r="A8" s="20" t="n">
        <f aca="false">Inputs!A17</f>
        <v>2</v>
      </c>
      <c r="B8" s="17" t="n">
        <f aca="false">20*LOG10($A8*1000)+Reference!B$10*($A8*1000-1)/1000</f>
        <v>66.0846258828539</v>
      </c>
      <c r="C8" s="17" t="n">
        <f aca="false">20*LOG10($A8*1000)+Reference!C$10*($A8*1000-1)/1000</f>
        <v>66.2638570295545</v>
      </c>
      <c r="D8" s="17" t="n">
        <f aca="false">20*LOG10($A8*1000)+Reference!D$10*($A8*1000-1)/1000</f>
        <v>66.8420895016007</v>
      </c>
      <c r="E8" s="17" t="n">
        <f aca="false">20*LOG10($A8*1000)+Reference!E$10*($A8*1000-1)/1000</f>
        <v>68.1062912277197</v>
      </c>
      <c r="F8" s="17" t="n">
        <f aca="false">20*LOG10($A8*1000)+Reference!F$10*($A8*1000-1)/1000</f>
        <v>69.8743962599632</v>
      </c>
      <c r="G8" s="17" t="n">
        <f aca="false">20*LOG10($A8*1000)+Reference!G$10*($A8*1000-1)/1000</f>
        <v>73.3323136726671</v>
      </c>
      <c r="H8" s="17" t="n">
        <f aca="false">20*LOG10($A8*1000)+Reference!H$10*($A8*1000-1)/1000</f>
        <v>85.3388266983792</v>
      </c>
      <c r="I8" s="17" t="n">
        <f aca="false">20*LOG10($A8*1000)+Reference!I$10*($A8*1000-1)/1000</f>
        <v>131.528089006075</v>
      </c>
      <c r="J8" s="17" t="n">
        <f aca="false">20*LOG10($A8*1000)+Reference!J$10*($A8*1000-1)/1000</f>
        <v>299.66780685199</v>
      </c>
    </row>
    <row r="9" customFormat="false" ht="15" hidden="false" customHeight="false" outlineLevel="0" collapsed="false">
      <c r="A9" s="20" t="n">
        <f aca="false">Inputs!A18</f>
        <v>3</v>
      </c>
      <c r="B9" s="17" t="n">
        <f aca="false">20*LOG10($A9*1000)+Reference!B$10*($A9*1000-1)/1000</f>
        <v>69.6384800632543</v>
      </c>
      <c r="C9" s="17" t="n">
        <f aca="false">20*LOG10($A9*1000)+Reference!C$10*($A9*1000-1)/1000</f>
        <v>69.907371613507</v>
      </c>
      <c r="D9" s="17" t="n">
        <f aca="false">20*LOG10($A9*1000)+Reference!D$10*($A9*1000-1)/1000</f>
        <v>70.7748649520095</v>
      </c>
      <c r="E9" s="17" t="n">
        <f aca="false">20*LOG10($A9*1000)+Reference!E$10*($A9*1000-1)/1000</f>
        <v>72.6714837497238</v>
      </c>
      <c r="F9" s="17" t="n">
        <f aca="false">20*LOG10($A9*1000)+Reference!F$10*($A9*1000-1)/1000</f>
        <v>75.3240835454709</v>
      </c>
      <c r="G9" s="17" t="n">
        <f aca="false">20*LOG10($A9*1000)+Reference!G$10*($A9*1000-1)/1000</f>
        <v>80.5118245763357</v>
      </c>
      <c r="H9" s="17" t="n">
        <f aca="false">20*LOG10($A9*1000)+Reference!H$10*($A9*1000-1)/1000</f>
        <v>98.5245972447253</v>
      </c>
      <c r="I9" s="17" t="n">
        <f aca="false">20*LOG10($A9*1000)+Reference!I$10*($A9*1000-1)/1000</f>
        <v>167.820043798392</v>
      </c>
      <c r="J9" s="17" t="n">
        <f aca="false">20*LOG10($A9*1000)+Reference!J$10*($A9*1000-1)/1000</f>
        <v>420.071676524705</v>
      </c>
    </row>
    <row r="10" customFormat="false" ht="15" hidden="false" customHeight="false" outlineLevel="0" collapsed="false">
      <c r="A10" s="20" t="n">
        <f aca="false">Inputs!A19</f>
        <v>5</v>
      </c>
      <c r="B10" s="17" t="n">
        <f aca="false">20*LOG10($A10*1000)+Reference!B$10*($A10*1000-1)/1000</f>
        <v>74.139513054155</v>
      </c>
      <c r="C10" s="17" t="n">
        <f aca="false">20*LOG10($A10*1000)+Reference!C$10*($A10*1000-1)/1000</f>
        <v>74.5877254115118</v>
      </c>
      <c r="D10" s="17" t="n">
        <f aca="false">20*LOG10($A10*1000)+Reference!D$10*($A10*1000-1)/1000</f>
        <v>76.033740482927</v>
      </c>
      <c r="E10" s="17" t="n">
        <f aca="false">20*LOG10($A10*1000)+Reference!E$10*($A10*1000-1)/1000</f>
        <v>79.1951934238318</v>
      </c>
      <c r="F10" s="17" t="n">
        <f aca="false">20*LOG10($A10*1000)+Reference!F$10*($A10*1000-1)/1000</f>
        <v>83.616782746586</v>
      </c>
      <c r="G10" s="17" t="n">
        <f aca="false">20*LOG10($A10*1000)+Reference!G$10*($A10*1000-1)/1000</f>
        <v>92.2641710137728</v>
      </c>
      <c r="H10" s="17" t="n">
        <f aca="false">20*LOG10($A10*1000)+Reference!H$10*($A10*1000-1)/1000</f>
        <v>122.289462967517</v>
      </c>
      <c r="I10" s="17" t="n">
        <f aca="false">20*LOG10($A10*1000)+Reference!I$10*($A10*1000-1)/1000</f>
        <v>237.797278013125</v>
      </c>
      <c r="J10" s="17" t="n">
        <f aca="false">20*LOG10($A10*1000)+Reference!J$10*($A10*1000-1)/1000</f>
        <v>658.272740500234</v>
      </c>
    </row>
    <row r="11" customFormat="false" ht="15" hidden="false" customHeight="false" outlineLevel="0" collapsed="false">
      <c r="A11" s="20" t="n">
        <f aca="false">Inputs!A20</f>
        <v>10</v>
      </c>
      <c r="B11" s="17" t="n">
        <f aca="false">20*LOG10($A11*1000)+Reference!B$10*($A11*1000-1)/1000</f>
        <v>80.3202579638684</v>
      </c>
      <c r="C11" s="17" t="n">
        <f aca="false">20*LOG10($A11*1000)+Reference!C$10*($A11*1000-1)/1000</f>
        <v>81.2167723389856</v>
      </c>
      <c r="D11" s="17" t="n">
        <f aca="false">20*LOG10($A11*1000)+Reference!D$10*($A11*1000-1)/1000</f>
        <v>84.1090917426825</v>
      </c>
      <c r="E11" s="17" t="n">
        <f aca="false">20*LOG10($A11*1000)+Reference!E$10*($A11*1000-1)/1000</f>
        <v>90.4326300415638</v>
      </c>
      <c r="F11" s="17" t="n">
        <f aca="false">20*LOG10($A11*1000)+Reference!F$10*($A11*1000-1)/1000</f>
        <v>99.2766931818356</v>
      </c>
      <c r="G11" s="17" t="n">
        <f aca="false">20*LOG10($A11*1000)+Reference!G$10*($A11*1000-1)/1000</f>
        <v>116.573199539827</v>
      </c>
      <c r="H11" s="17" t="n">
        <f aca="false">20*LOG10($A11*1000)+Reference!H$10*($A11*1000-1)/1000</f>
        <v>176.629789706959</v>
      </c>
      <c r="I11" s="17" t="n">
        <f aca="false">20*LOG10($A11*1000)+Reference!I$10*($A11*1000-1)/1000</f>
        <v>407.668525982421</v>
      </c>
      <c r="J11" s="17" t="n">
        <f aca="false">20*LOG10($A11*1000)+Reference!J$10*($A11*1000-1)/1000</f>
        <v>1248.70356287152</v>
      </c>
    </row>
    <row r="13" customFormat="false" ht="15" hidden="false" customHeight="false" outlineLevel="0" collapsed="false">
      <c r="A13" s="7" t="s">
        <v>115</v>
      </c>
    </row>
    <row r="14" customFormat="false" ht="15" hidden="false" customHeight="false" outlineLevel="0" collapsed="false">
      <c r="A14" s="13" t="s">
        <v>114</v>
      </c>
      <c r="B14" s="13" t="s">
        <v>64</v>
      </c>
      <c r="C14" s="13" t="s">
        <v>65</v>
      </c>
      <c r="D14" s="13" t="s">
        <v>66</v>
      </c>
      <c r="E14" s="13" t="s">
        <v>67</v>
      </c>
      <c r="F14" s="13" t="s">
        <v>68</v>
      </c>
      <c r="G14" s="13" t="s">
        <v>69</v>
      </c>
      <c r="H14" s="13" t="s">
        <v>70</v>
      </c>
      <c r="I14" s="13" t="s">
        <v>71</v>
      </c>
      <c r="J14" s="13" t="s">
        <v>72</v>
      </c>
    </row>
    <row r="15" customFormat="false" ht="15" hidden="false" customHeight="false" outlineLevel="0" collapsed="false">
      <c r="A15" s="17" t="n">
        <f aca="false">A6</f>
        <v>0.5</v>
      </c>
      <c r="B15" s="17" t="n">
        <f aca="false">Reference!B$9+B6</f>
        <v>113.495382557364</v>
      </c>
      <c r="C15" s="17" t="n">
        <f aca="false">Reference!C$9+C6</f>
        <v>91.540123098737</v>
      </c>
      <c r="D15" s="17" t="n">
        <f aca="false">Reference!D$9+D6</f>
        <v>76.2844642710987</v>
      </c>
      <c r="E15" s="17" t="n">
        <f aca="false">Reference!E$9+E6</f>
        <v>65.9000403898247</v>
      </c>
      <c r="F15" s="17" t="n">
        <f aca="false">Reference!F$9+F6</f>
        <v>59.341403276813</v>
      </c>
      <c r="G15" s="17" t="n">
        <f aca="false">Reference!G$9+G6</f>
        <v>58.2045852622753</v>
      </c>
      <c r="H15" s="17" t="n">
        <f aca="false">Reference!H$9+H6</f>
        <v>57.5017088239714</v>
      </c>
      <c r="I15" s="17" t="n">
        <f aca="false">Reference!I$9+I6</f>
        <v>64.9316947627108</v>
      </c>
      <c r="J15" s="17" t="n">
        <f aca="false">Reference!J$9+J6</f>
        <v>124.903540288029</v>
      </c>
    </row>
    <row r="16" customFormat="false" ht="15" hidden="false" customHeight="false" outlineLevel="0" collapsed="false">
      <c r="A16" s="17" t="n">
        <f aca="false">A7</f>
        <v>1</v>
      </c>
      <c r="B16" s="17" t="n">
        <f aca="false">Reference!B$9+B7</f>
        <v>119.531996970287</v>
      </c>
      <c r="C16" s="17" t="n">
        <f aca="false">Reference!C$9+C7</f>
        <v>97.621567713436</v>
      </c>
      <c r="D16" s="17" t="n">
        <f aca="false">Reference!D$9+D7</f>
        <v>82.5105393190259</v>
      </c>
      <c r="E16" s="17" t="n">
        <f aca="false">Reference!E$9+E7</f>
        <v>72.4423239735496</v>
      </c>
      <c r="F16" s="17" t="n">
        <f aca="false">Reference!F$9+F7</f>
        <v>66.3259342422896</v>
      </c>
      <c r="G16" s="17" t="n">
        <f aca="false">Reference!G$9+G7</f>
        <v>66.0540280368325</v>
      </c>
      <c r="H16" s="17" t="n">
        <f aca="false">Reference!H$9+H7</f>
        <v>68.3542814198672</v>
      </c>
      <c r="I16" s="17" t="n">
        <f aca="false">Reference!I$9+I7</f>
        <v>87.337359481592</v>
      </c>
      <c r="J16" s="17" t="n">
        <f aca="false">Reference!J$9+J7</f>
        <v>189.36516244711</v>
      </c>
    </row>
    <row r="17" customFormat="false" ht="15" hidden="false" customHeight="false" outlineLevel="0" collapsed="false">
      <c r="A17" s="17" t="n">
        <f aca="false">A8</f>
        <v>2</v>
      </c>
      <c r="B17" s="17" t="n">
        <f aca="false">Reference!B$9+B8</f>
        <v>125.584625882854</v>
      </c>
      <c r="C17" s="17" t="n">
        <f aca="false">Reference!C$9+C8</f>
        <v>103.763857029554</v>
      </c>
      <c r="D17" s="17" t="n">
        <f aca="false">Reference!D$9+D8</f>
        <v>88.9420895016007</v>
      </c>
      <c r="E17" s="17" t="n">
        <f aca="false">Reference!E$9+E8</f>
        <v>79.5062912277197</v>
      </c>
      <c r="F17" s="17" t="n">
        <f aca="false">Reference!F$9+F8</f>
        <v>74.2743962599632</v>
      </c>
      <c r="G17" s="17" t="n">
        <f aca="false">Reference!G$9+G8</f>
        <v>75.7323136726671</v>
      </c>
      <c r="H17" s="17" t="n">
        <f aca="false">Reference!H$9+H8</f>
        <v>84.0388266983792</v>
      </c>
      <c r="I17" s="17" t="n">
        <f aca="false">Reference!I$9+I8</f>
        <v>126.128089006075</v>
      </c>
      <c r="J17" s="17" t="n">
        <f aca="false">Reference!J$9+J8</f>
        <v>312.26780685199</v>
      </c>
    </row>
    <row r="18" customFormat="false" ht="15" hidden="false" customHeight="false" outlineLevel="0" collapsed="false">
      <c r="A18" s="17" t="n">
        <f aca="false">A9</f>
        <v>3</v>
      </c>
      <c r="B18" s="17" t="n">
        <f aca="false">Reference!B$9+B9</f>
        <v>129.138480063254</v>
      </c>
      <c r="C18" s="17" t="n">
        <f aca="false">Reference!C$9+C9</f>
        <v>107.407371613507</v>
      </c>
      <c r="D18" s="17" t="n">
        <f aca="false">Reference!D$9+D9</f>
        <v>92.8748649520095</v>
      </c>
      <c r="E18" s="17" t="n">
        <f aca="false">Reference!E$9+E9</f>
        <v>84.0714837497238</v>
      </c>
      <c r="F18" s="17" t="n">
        <f aca="false">Reference!F$9+F9</f>
        <v>79.7240835454709</v>
      </c>
      <c r="G18" s="17" t="n">
        <f aca="false">Reference!G$9+G9</f>
        <v>82.9118245763357</v>
      </c>
      <c r="H18" s="17" t="n">
        <f aca="false">Reference!H$9+H9</f>
        <v>97.2245972447253</v>
      </c>
      <c r="I18" s="17" t="n">
        <f aca="false">Reference!I$9+I9</f>
        <v>162.420043798392</v>
      </c>
      <c r="J18" s="17" t="n">
        <f aca="false">Reference!J$9+J9</f>
        <v>432.671676524705</v>
      </c>
    </row>
    <row r="19" customFormat="false" ht="15" hidden="false" customHeight="false" outlineLevel="0" collapsed="false">
      <c r="A19" s="17" t="n">
        <f aca="false">A10</f>
        <v>5</v>
      </c>
      <c r="B19" s="17" t="n">
        <f aca="false">Reference!B$9+B10</f>
        <v>133.639513054155</v>
      </c>
      <c r="C19" s="17" t="n">
        <f aca="false">Reference!C$9+C10</f>
        <v>112.087725411512</v>
      </c>
      <c r="D19" s="17" t="n">
        <f aca="false">Reference!D$9+D10</f>
        <v>98.133740482927</v>
      </c>
      <c r="E19" s="17" t="n">
        <f aca="false">Reference!E$9+E10</f>
        <v>90.5951934238318</v>
      </c>
      <c r="F19" s="17" t="n">
        <f aca="false">Reference!F$9+F10</f>
        <v>88.016782746586</v>
      </c>
      <c r="G19" s="17" t="n">
        <f aca="false">Reference!G$9+G10</f>
        <v>94.6641710137728</v>
      </c>
      <c r="H19" s="17" t="n">
        <f aca="false">Reference!H$9+H10</f>
        <v>120.989462967517</v>
      </c>
      <c r="I19" s="17" t="n">
        <f aca="false">Reference!I$9+I10</f>
        <v>232.397278013125</v>
      </c>
      <c r="J19" s="17" t="n">
        <f aca="false">Reference!J$9+J10</f>
        <v>670.872740500234</v>
      </c>
    </row>
    <row r="20" customFormat="false" ht="15" hidden="false" customHeight="false" outlineLevel="0" collapsed="false">
      <c r="A20" s="17" t="n">
        <f aca="false">A11</f>
        <v>10</v>
      </c>
      <c r="B20" s="17" t="n">
        <f aca="false">Reference!B$9+B11</f>
        <v>139.820257963868</v>
      </c>
      <c r="C20" s="17" t="n">
        <f aca="false">Reference!C$9+C11</f>
        <v>118.716772338986</v>
      </c>
      <c r="D20" s="17" t="n">
        <f aca="false">Reference!D$9+D11</f>
        <v>106.209091742682</v>
      </c>
      <c r="E20" s="17" t="n">
        <f aca="false">Reference!E$9+E11</f>
        <v>101.832630041564</v>
      </c>
      <c r="F20" s="17" t="n">
        <f aca="false">Reference!F$9+F11</f>
        <v>103.676693181836</v>
      </c>
      <c r="G20" s="17" t="n">
        <f aca="false">Reference!G$9+G11</f>
        <v>118.973199539827</v>
      </c>
      <c r="H20" s="17" t="n">
        <f aca="false">Reference!H$9+H11</f>
        <v>175.329789706959</v>
      </c>
      <c r="I20" s="17" t="n">
        <f aca="false">Reference!I$9+I11</f>
        <v>402.268525982421</v>
      </c>
      <c r="J20" s="17" t="n">
        <f aca="false">Reference!J$9+J11</f>
        <v>1261.30356287152</v>
      </c>
    </row>
    <row r="22" customFormat="false" ht="15" hidden="false" customHeight="false" outlineLevel="0" collapsed="false">
      <c r="A22" s="7" t="s">
        <v>116</v>
      </c>
    </row>
    <row r="23" customFormat="false" ht="23.85" hidden="false" customHeight="false" outlineLevel="0" collapsed="false">
      <c r="A23" s="13" t="s">
        <v>114</v>
      </c>
      <c r="B23" s="13" t="s">
        <v>117</v>
      </c>
    </row>
    <row r="24" customFormat="false" ht="15" hidden="false" customHeight="false" outlineLevel="0" collapsed="false">
      <c r="A24" s="17" t="n">
        <f aca="false">A6</f>
        <v>0.5</v>
      </c>
      <c r="B24" s="17" t="n">
        <f aca="false">Inputs!$B$12+20*LOG10($A24*1000)</f>
        <v>88.9794000867204</v>
      </c>
    </row>
    <row r="25" customFormat="false" ht="15" hidden="false" customHeight="false" outlineLevel="0" collapsed="false">
      <c r="A25" s="17" t="n">
        <f aca="false">A7</f>
        <v>1</v>
      </c>
      <c r="B25" s="17" t="n">
        <f aca="false">Inputs!$B$12+20*LOG10($A25*1000)</f>
        <v>95</v>
      </c>
    </row>
    <row r="26" customFormat="false" ht="15" hidden="false" customHeight="false" outlineLevel="0" collapsed="false">
      <c r="A26" s="17" t="n">
        <f aca="false">A8</f>
        <v>2</v>
      </c>
      <c r="B26" s="17" t="n">
        <f aca="false">Inputs!$B$12+20*LOG10($A26*1000)</f>
        <v>101.02059991328</v>
      </c>
    </row>
    <row r="27" customFormat="false" ht="15" hidden="false" customHeight="false" outlineLevel="0" collapsed="false">
      <c r="A27" s="17" t="n">
        <f aca="false">A9</f>
        <v>3</v>
      </c>
      <c r="B27" s="17" t="n">
        <f aca="false">Inputs!$B$12+20*LOG10($A27*1000)</f>
        <v>104.542425094393</v>
      </c>
    </row>
    <row r="28" customFormat="false" ht="15" hidden="false" customHeight="false" outlineLevel="0" collapsed="false">
      <c r="A28" s="17" t="n">
        <f aca="false">A10</f>
        <v>5</v>
      </c>
      <c r="B28" s="17" t="n">
        <f aca="false">Inputs!$B$12+20*LOG10($A28*1000)</f>
        <v>108.97940008672</v>
      </c>
    </row>
    <row r="29" customFormat="false" ht="15" hidden="false" customHeight="false" outlineLevel="0" collapsed="false">
      <c r="A29" s="17" t="n">
        <f aca="false">A11</f>
        <v>10</v>
      </c>
      <c r="B29" s="17" t="n">
        <f aca="false">Inputs!$B$12+20*LOG10($A29*1000)</f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0" min="2" style="0" width="9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6"/>
    <col collapsed="false" customWidth="true" hidden="false" outlineLevel="0" max="14" min="14" style="0" width="12"/>
  </cols>
  <sheetData>
    <row r="1" customFormat="false" ht="16.15" hidden="false" customHeight="false" outlineLevel="0" collapsed="false">
      <c r="A1" s="5" t="s">
        <v>118</v>
      </c>
    </row>
    <row r="2" customFormat="false" ht="15" hidden="false" customHeight="false" outlineLevel="0" collapsed="false">
      <c r="A2" s="6" t="s">
        <v>119</v>
      </c>
    </row>
    <row r="4" customFormat="false" ht="15" hidden="false" customHeight="false" outlineLevel="0" collapsed="false">
      <c r="A4" s="26" t="str">
        <f aca="false">"Class: "&amp;Inputs!A24&amp;"   Character: "&amp;Inputs!A31</f>
        <v>Class: Small PA   Character: Balanced</v>
      </c>
    </row>
    <row r="5" customFormat="false" ht="15" hidden="false" customHeight="false" outlineLevel="0" collapsed="false">
      <c r="A5" s="7" t="s">
        <v>120</v>
      </c>
    </row>
    <row r="6" customFormat="false" ht="23.85" hidden="false" customHeight="false" outlineLevel="0" collapsed="false">
      <c r="A6" s="13" t="s">
        <v>114</v>
      </c>
      <c r="B6" s="13" t="s">
        <v>64</v>
      </c>
      <c r="C6" s="13" t="s">
        <v>65</v>
      </c>
      <c r="D6" s="13" t="s">
        <v>66</v>
      </c>
      <c r="E6" s="13" t="s">
        <v>67</v>
      </c>
      <c r="F6" s="13" t="s">
        <v>68</v>
      </c>
      <c r="G6" s="13" t="s">
        <v>69</v>
      </c>
      <c r="H6" s="13" t="s">
        <v>70</v>
      </c>
      <c r="I6" s="13" t="s">
        <v>71</v>
      </c>
      <c r="J6" s="13" t="s">
        <v>72</v>
      </c>
      <c r="K6" s="13" t="s">
        <v>121</v>
      </c>
      <c r="L6" s="13" t="s">
        <v>122</v>
      </c>
      <c r="M6" s="13" t="s">
        <v>86</v>
      </c>
      <c r="N6" s="13" t="s">
        <v>123</v>
      </c>
    </row>
    <row r="7" customFormat="false" ht="15" hidden="false" customHeight="false" outlineLevel="0" collapsed="false">
      <c r="A7" s="20" t="n">
        <f aca="false">Inputs!$A$15</f>
        <v>0.5</v>
      </c>
      <c r="B7" s="17" t="n">
        <f aca="false">IF(OR(Inputs!$B$24="",Inputs!$C$24=""),"",Inputs!B$31+Inputs!$B$24-Inputs!$K$31-20*LOG10($A7*1000/Inputs!$C$24)-Reference!B$10*($A7*1000-Inputs!$C$24)/1000)</f>
        <v>66.0049869037716</v>
      </c>
      <c r="C7" s="17" t="n">
        <f aca="false">IF(OR(Inputs!$B$24="",Inputs!$C$24=""),"",Inputs!C$31+Inputs!$B$24-Inputs!$K$31-20*LOG10($A7*1000/Inputs!$C$24)-Reference!C$10*($A7*1000-Inputs!$C$24)/1000)</f>
        <v>75.9610533060311</v>
      </c>
      <c r="D7" s="17" t="n">
        <f aca="false">IF(OR(Inputs!$B$24="",Inputs!$C$24=""),"",Inputs!D$31+Inputs!$B$24-Inputs!$K$31-20*LOG10($A7*1000/Inputs!$C$24)-Reference!D$10*($A7*1000-Inputs!$C$24)/1000)</f>
        <v>66.8193154814675</v>
      </c>
      <c r="E7" s="17" t="n">
        <f aca="false">IF(OR(Inputs!$B$24="",Inputs!$C$24=""),"",Inputs!E$31+Inputs!$B$24-Inputs!$K$31-20*LOG10($A7*1000/Inputs!$C$24)-Reference!E$10*($A7*1000-Inputs!$C$24)/1000)</f>
        <v>63.5094311163858</v>
      </c>
      <c r="F7" s="17" t="n">
        <f aca="false">IF(OR(Inputs!$B$24="",Inputs!$C$24=""),"",Inputs!F$31+Inputs!$B$24-Inputs!$K$31-20*LOG10($A7*1000/Inputs!$C$24)-Reference!F$10*($A7*1000-Inputs!$C$24)/1000)</f>
        <v>63.0760286822691</v>
      </c>
      <c r="G7" s="17" t="n">
        <f aca="false">IF(OR(Inputs!$B$24="",Inputs!$C$24=""),"",Inputs!G$31+Inputs!$B$24-Inputs!$K$31-20*LOG10($A7*1000/Inputs!$C$24)-Reference!G$10*($A7*1000-Inputs!$C$24)/1000)</f>
        <v>57.2284151093702</v>
      </c>
      <c r="H7" s="17" t="n">
        <f aca="false">IF(OR(Inputs!$B$24="",Inputs!$C$24=""),"",Inputs!H$31+Inputs!$B$24-Inputs!$K$31-20*LOG10($A7*1000/Inputs!$C$24)-Reference!H$10*($A7*1000-Inputs!$C$24)/1000)</f>
        <v>50.2853478844583</v>
      </c>
      <c r="I7" s="17" t="n">
        <f aca="false">IF(OR(Inputs!$B$24="",Inputs!$C$24=""),"",Inputs!I$31+Inputs!$B$24-Inputs!$K$31-20*LOG10($A7*1000/Inputs!$C$24)-Reference!I$10*($A7*1000-Inputs!$C$24)/1000)</f>
        <v>34.9633176039326</v>
      </c>
      <c r="J7" s="17" t="n">
        <f aca="false">IF(OR(Inputs!$B$24="",Inputs!$C$24=""),"",Inputs!J$31+Inputs!$B$24-Inputs!$K$31-20*LOG10($A7*1000/Inputs!$C$24)-Reference!J$10*($A7*1000-Inputs!$C$24)/1000)</f>
        <v>-12.2515206874624</v>
      </c>
      <c r="K7" s="17" t="n">
        <f aca="false">IF(COUNT(B7:J7)&lt;9,"",10*LOG10(SUMPRODUCT(10^((B7:J7+Reference!$B$7:$J$7)/10))))</f>
        <v>63.3599022106663</v>
      </c>
      <c r="L7" s="17" t="n">
        <f aca="false">IF(COUNT(B7:J7)&lt;9,"",10*LOG10(SUMPRODUCT(10^((B7:J7+Reference!$B$8:$J$8)/10))))</f>
        <v>76.4653342176489</v>
      </c>
      <c r="M7" s="17" t="n">
        <f aca="false">IF(ISNUMBER(K7),Inputs!$B$12-K7,"")</f>
        <v>-28.3599022106663</v>
      </c>
      <c r="N7" s="8" t="str">
        <f aca="false">IF(ISNUMBER(M7),IF(M7&gt;=0,"yes","no"),"")</f>
        <v>no</v>
      </c>
    </row>
    <row r="8" customFormat="false" ht="15" hidden="false" customHeight="false" outlineLevel="0" collapsed="false">
      <c r="A8" s="20" t="n">
        <f aca="false">Inputs!$A$16</f>
        <v>1</v>
      </c>
      <c r="B8" s="17" t="n">
        <f aca="false">IF(OR(Inputs!$B$24="",Inputs!$C$24=""),"",Inputs!B$31+Inputs!$B$24-Inputs!$K$31-20*LOG10($A8*1000/Inputs!$C$24)-Reference!B$10*($A8*1000-Inputs!$C$24)/1000)</f>
        <v>59.9683724908486</v>
      </c>
      <c r="C8" s="17" t="n">
        <f aca="false">IF(OR(Inputs!$B$24="",Inputs!$C$24=""),"",Inputs!C$31+Inputs!$B$24-Inputs!$K$31-20*LOG10($A8*1000/Inputs!$C$24)-Reference!C$10*($A8*1000-Inputs!$C$24)/1000)</f>
        <v>69.8796086913321</v>
      </c>
      <c r="D8" s="17" t="n">
        <f aca="false">IF(OR(Inputs!$B$24="",Inputs!$C$24=""),"",Inputs!D$31+Inputs!$B$24-Inputs!$K$31-20*LOG10($A8*1000/Inputs!$C$24)-Reference!D$10*($A8*1000-Inputs!$C$24)/1000)</f>
        <v>60.5932404335403</v>
      </c>
      <c r="E8" s="17" t="n">
        <f aca="false">IF(OR(Inputs!$B$24="",Inputs!$C$24=""),"",Inputs!E$31+Inputs!$B$24-Inputs!$K$31-20*LOG10($A8*1000/Inputs!$C$24)-Reference!E$10*($A8*1000-Inputs!$C$24)/1000)</f>
        <v>56.967147532661</v>
      </c>
      <c r="F8" s="17" t="n">
        <f aca="false">IF(OR(Inputs!$B$24="",Inputs!$C$24=""),"",Inputs!F$31+Inputs!$B$24-Inputs!$K$31-20*LOG10($A8*1000/Inputs!$C$24)-Reference!F$10*($A8*1000-Inputs!$C$24)/1000)</f>
        <v>56.0914977167925</v>
      </c>
      <c r="G8" s="17" t="n">
        <f aca="false">IF(OR(Inputs!$B$24="",Inputs!$C$24=""),"",Inputs!G$31+Inputs!$B$24-Inputs!$K$31-20*LOG10($A8*1000/Inputs!$C$24)-Reference!G$10*($A8*1000-Inputs!$C$24)/1000)</f>
        <v>49.3789723348131</v>
      </c>
      <c r="H8" s="17" t="n">
        <f aca="false">IF(OR(Inputs!$B$24="",Inputs!$C$24=""),"",Inputs!H$31+Inputs!$B$24-Inputs!$K$31-20*LOG10($A8*1000/Inputs!$C$24)-Reference!H$10*($A8*1000-Inputs!$C$24)/1000)</f>
        <v>39.4327752885624</v>
      </c>
      <c r="I8" s="17" t="n">
        <f aca="false">IF(OR(Inputs!$B$24="",Inputs!$C$24=""),"",Inputs!I$31+Inputs!$B$24-Inputs!$K$31-20*LOG10($A8*1000/Inputs!$C$24)-Reference!I$10*($A8*1000-Inputs!$C$24)/1000)</f>
        <v>12.5576528850513</v>
      </c>
      <c r="J8" s="17" t="n">
        <f aca="false">IF(OR(Inputs!$B$24="",Inputs!$C$24=""),"",Inputs!J$31+Inputs!$B$24-Inputs!$K$31-20*LOG10($A8*1000/Inputs!$C$24)-Reference!J$10*($A8*1000-Inputs!$C$24)/1000)</f>
        <v>-76.7131428465425</v>
      </c>
      <c r="K8" s="17" t="n">
        <f aca="false">IF(COUNT(B8:J8)&lt;9,"",10*LOG10(SUMPRODUCT(10^((B8:J8+Reference!$B$7:$J$7)/10))))</f>
        <v>56.1607429806167</v>
      </c>
      <c r="L8" s="17" t="n">
        <f aca="false">IF(COUNT(B8:J8)&lt;9,"",10*LOG10(SUMPRODUCT(10^((B8:J8+Reference!$B$8:$J$8)/10))))</f>
        <v>70.2863706793843</v>
      </c>
      <c r="M8" s="17" t="n">
        <f aca="false">IF(ISNUMBER(K8),Inputs!$B$12-K8,"")</f>
        <v>-21.1607429806167</v>
      </c>
      <c r="N8" s="8" t="str">
        <f aca="false">IF(ISNUMBER(M8),IF(M8&gt;=0,"yes","no"),"")</f>
        <v>no</v>
      </c>
    </row>
    <row r="9" customFormat="false" ht="15" hidden="false" customHeight="false" outlineLevel="0" collapsed="false">
      <c r="A9" s="20" t="n">
        <f aca="false">Inputs!$A$17</f>
        <v>2</v>
      </c>
      <c r="B9" s="17" t="n">
        <f aca="false">IF(OR(Inputs!$B$24="",Inputs!$C$24=""),"",Inputs!B$31+Inputs!$B$24-Inputs!$K$31-20*LOG10($A9*1000/Inputs!$C$24)-Reference!B$10*($A9*1000-Inputs!$C$24)/1000)</f>
        <v>53.9157435782822</v>
      </c>
      <c r="C9" s="17" t="n">
        <f aca="false">IF(OR(Inputs!$B$24="",Inputs!$C$24=""),"",Inputs!C$31+Inputs!$B$24-Inputs!$K$31-20*LOG10($A9*1000/Inputs!$C$24)-Reference!C$10*($A9*1000-Inputs!$C$24)/1000)</f>
        <v>63.7373193752136</v>
      </c>
      <c r="D9" s="17" t="n">
        <f aca="false">IF(OR(Inputs!$B$24="",Inputs!$C$24=""),"",Inputs!D$31+Inputs!$B$24-Inputs!$K$31-20*LOG10($A9*1000/Inputs!$C$24)-Reference!D$10*($A9*1000-Inputs!$C$24)/1000)</f>
        <v>54.1616902509655</v>
      </c>
      <c r="E9" s="17" t="n">
        <f aca="false">IF(OR(Inputs!$B$24="",Inputs!$C$24=""),"",Inputs!E$31+Inputs!$B$24-Inputs!$K$31-20*LOG10($A9*1000/Inputs!$C$24)-Reference!E$10*($A9*1000-Inputs!$C$24)/1000)</f>
        <v>49.9031802784909</v>
      </c>
      <c r="F9" s="17" t="n">
        <f aca="false">IF(OR(Inputs!$B$24="",Inputs!$C$24=""),"",Inputs!F$31+Inputs!$B$24-Inputs!$K$31-20*LOG10($A9*1000/Inputs!$C$24)-Reference!F$10*($A9*1000-Inputs!$C$24)/1000)</f>
        <v>48.1430356991189</v>
      </c>
      <c r="G9" s="17" t="n">
        <f aca="false">IF(OR(Inputs!$B$24="",Inputs!$C$24=""),"",Inputs!G$31+Inputs!$B$24-Inputs!$K$31-20*LOG10($A9*1000/Inputs!$C$24)-Reference!G$10*($A9*1000-Inputs!$C$24)/1000)</f>
        <v>39.7006866989785</v>
      </c>
      <c r="H9" s="17" t="n">
        <f aca="false">IF(OR(Inputs!$B$24="",Inputs!$C$24=""),"",Inputs!H$31+Inputs!$B$24-Inputs!$K$31-20*LOG10($A9*1000/Inputs!$C$24)-Reference!H$10*($A9*1000-Inputs!$C$24)/1000)</f>
        <v>23.7482300100504</v>
      </c>
      <c r="I9" s="17" t="n">
        <f aca="false">IF(OR(Inputs!$B$24="",Inputs!$C$24=""),"",Inputs!I$31+Inputs!$B$24-Inputs!$K$31-20*LOG10($A9*1000/Inputs!$C$24)-Reference!I$10*($A9*1000-Inputs!$C$24)/1000)</f>
        <v>-26.2330766394315</v>
      </c>
      <c r="J9" s="17" t="n">
        <f aca="false">IF(OR(Inputs!$B$24="",Inputs!$C$24=""),"",Inputs!J$31+Inputs!$B$24-Inputs!$K$31-20*LOG10($A9*1000/Inputs!$C$24)-Reference!J$10*($A9*1000-Inputs!$C$24)/1000)</f>
        <v>-199.615787251423</v>
      </c>
      <c r="K9" s="17" t="n">
        <f aca="false">IF(COUNT(B9:J9)&lt;9,"",10*LOG10(SUMPRODUCT(10^((B9:J9+Reference!$B$7:$J$7)/10))))</f>
        <v>48.2253933580484</v>
      </c>
      <c r="L9" s="17" t="n">
        <f aca="false">IF(COUNT(B9:J9)&lt;9,"",10*LOG10(SUMPRODUCT(10^((B9:J9+Reference!$B$8:$J$8)/10))))</f>
        <v>63.9996645246365</v>
      </c>
      <c r="M9" s="17" t="n">
        <f aca="false">IF(ISNUMBER(K9),Inputs!$B$12-K9,"")</f>
        <v>-13.2253933580484</v>
      </c>
      <c r="N9" s="8" t="str">
        <f aca="false">IF(ISNUMBER(M9),IF(M9&gt;=0,"yes","no"),"")</f>
        <v>no</v>
      </c>
    </row>
    <row r="10" customFormat="false" ht="15" hidden="false" customHeight="false" outlineLevel="0" collapsed="false">
      <c r="A10" s="20" t="n">
        <f aca="false">Inputs!$A$18</f>
        <v>3</v>
      </c>
      <c r="B10" s="17" t="n">
        <f aca="false">IF(OR(Inputs!$B$24="",Inputs!$C$24=""),"",Inputs!B$31+Inputs!$B$24-Inputs!$K$31-20*LOG10($A10*1000/Inputs!$C$24)-Reference!B$10*($A10*1000-Inputs!$C$24)/1000)</f>
        <v>50.3618893978818</v>
      </c>
      <c r="C10" s="17" t="n">
        <f aca="false">IF(OR(Inputs!$B$24="",Inputs!$C$24=""),"",Inputs!C$31+Inputs!$B$24-Inputs!$K$31-20*LOG10($A10*1000/Inputs!$C$24)-Reference!C$10*($A10*1000-Inputs!$C$24)/1000)</f>
        <v>60.0938047912611</v>
      </c>
      <c r="D10" s="17" t="n">
        <f aca="false">IF(OR(Inputs!$B$24="",Inputs!$C$24=""),"",Inputs!D$31+Inputs!$B$24-Inputs!$K$31-20*LOG10($A10*1000/Inputs!$C$24)-Reference!D$10*($A10*1000-Inputs!$C$24)/1000)</f>
        <v>50.2289148005567</v>
      </c>
      <c r="E10" s="17" t="n">
        <f aca="false">IF(OR(Inputs!$B$24="",Inputs!$C$24=""),"",Inputs!E$31+Inputs!$B$24-Inputs!$K$31-20*LOG10($A10*1000/Inputs!$C$24)-Reference!E$10*($A10*1000-Inputs!$C$24)/1000)</f>
        <v>45.3379877564868</v>
      </c>
      <c r="F10" s="17" t="n">
        <f aca="false">IF(OR(Inputs!$B$24="",Inputs!$C$24=""),"",Inputs!F$31+Inputs!$B$24-Inputs!$K$31-20*LOG10($A10*1000/Inputs!$C$24)-Reference!F$10*($A10*1000-Inputs!$C$24)/1000)</f>
        <v>42.6933484136112</v>
      </c>
      <c r="G10" s="17" t="n">
        <f aca="false">IF(OR(Inputs!$B$24="",Inputs!$C$24=""),"",Inputs!G$31+Inputs!$B$24-Inputs!$K$31-20*LOG10($A10*1000/Inputs!$C$24)-Reference!G$10*($A10*1000-Inputs!$C$24)/1000)</f>
        <v>32.5211757953098</v>
      </c>
      <c r="H10" s="17" t="n">
        <f aca="false">IF(OR(Inputs!$B$24="",Inputs!$C$24=""),"",Inputs!H$31+Inputs!$B$24-Inputs!$K$31-20*LOG10($A10*1000/Inputs!$C$24)-Reference!H$10*($A10*1000-Inputs!$C$24)/1000)</f>
        <v>10.5624594637044</v>
      </c>
      <c r="I10" s="17" t="n">
        <f aca="false">IF(OR(Inputs!$B$24="",Inputs!$C$24=""),"",Inputs!I$31+Inputs!$B$24-Inputs!$K$31-20*LOG10($A10*1000/Inputs!$C$24)-Reference!I$10*($A10*1000-Inputs!$C$24)/1000)</f>
        <v>-62.5250314317484</v>
      </c>
      <c r="J10" s="17" t="n">
        <f aca="false">IF(OR(Inputs!$B$24="",Inputs!$C$24=""),"",Inputs!J$31+Inputs!$B$24-Inputs!$K$31-20*LOG10($A10*1000/Inputs!$C$24)-Reference!J$10*($A10*1000-Inputs!$C$24)/1000)</f>
        <v>-320.019656924138</v>
      </c>
      <c r="K10" s="17" t="n">
        <f aca="false">IF(COUNT(B10:J10)&lt;9,"",10*LOG10(SUMPRODUCT(10^((B10:J10+Reference!$B$7:$J$7)/10))))</f>
        <v>43.1112940952823</v>
      </c>
      <c r="L10" s="17" t="n">
        <f aca="false">IF(COUNT(B10:J10)&lt;9,"",10*LOG10(SUMPRODUCT(10^((B10:J10+Reference!$B$8:$J$8)/10))))</f>
        <v>60.2515795143067</v>
      </c>
      <c r="M10" s="17" t="n">
        <f aca="false">IF(ISNUMBER(K10),Inputs!$B$12-K10,"")</f>
        <v>-8.11129409528229</v>
      </c>
      <c r="N10" s="8" t="str">
        <f aca="false">IF(ISNUMBER(M10),IF(M10&gt;=0,"yes","no"),"")</f>
        <v>no</v>
      </c>
    </row>
    <row r="11" customFormat="false" ht="15" hidden="false" customHeight="false" outlineLevel="0" collapsed="false">
      <c r="A11" s="20" t="n">
        <f aca="false">Inputs!$A$19</f>
        <v>5</v>
      </c>
      <c r="B11" s="17" t="n">
        <f aca="false">IF(OR(Inputs!$B$24="",Inputs!$C$24=""),"",Inputs!B$31+Inputs!$B$24-Inputs!$K$31-20*LOG10($A11*1000/Inputs!$C$24)-Reference!B$10*($A11*1000-Inputs!$C$24)/1000)</f>
        <v>45.8608564069812</v>
      </c>
      <c r="C11" s="17" t="n">
        <f aca="false">IF(OR(Inputs!$B$24="",Inputs!$C$24=""),"",Inputs!C$31+Inputs!$B$24-Inputs!$K$31-20*LOG10($A11*1000/Inputs!$C$24)-Reference!C$10*($A11*1000-Inputs!$C$24)/1000)</f>
        <v>55.4134509932563</v>
      </c>
      <c r="D11" s="17" t="n">
        <f aca="false">IF(OR(Inputs!$B$24="",Inputs!$C$24=""),"",Inputs!D$31+Inputs!$B$24-Inputs!$K$31-20*LOG10($A11*1000/Inputs!$C$24)-Reference!D$10*($A11*1000-Inputs!$C$24)/1000)</f>
        <v>44.9700392696392</v>
      </c>
      <c r="E11" s="17" t="n">
        <f aca="false">IF(OR(Inputs!$B$24="",Inputs!$C$24=""),"",Inputs!E$31+Inputs!$B$24-Inputs!$K$31-20*LOG10($A11*1000/Inputs!$C$24)-Reference!E$10*($A11*1000-Inputs!$C$24)/1000)</f>
        <v>38.8142780823787</v>
      </c>
      <c r="F11" s="17" t="n">
        <f aca="false">IF(OR(Inputs!$B$24="",Inputs!$C$24=""),"",Inputs!F$31+Inputs!$B$24-Inputs!$K$31-20*LOG10($A11*1000/Inputs!$C$24)-Reference!F$10*($A11*1000-Inputs!$C$24)/1000)</f>
        <v>34.4006492124961</v>
      </c>
      <c r="G11" s="17" t="n">
        <f aca="false">IF(OR(Inputs!$B$24="",Inputs!$C$24=""),"",Inputs!G$31+Inputs!$B$24-Inputs!$K$31-20*LOG10($A11*1000/Inputs!$C$24)-Reference!G$10*($A11*1000-Inputs!$C$24)/1000)</f>
        <v>20.7688293578727</v>
      </c>
      <c r="H11" s="17" t="n">
        <f aca="false">IF(OR(Inputs!$B$24="",Inputs!$C$24=""),"",Inputs!H$31+Inputs!$B$24-Inputs!$K$31-20*LOG10($A11*1000/Inputs!$C$24)-Reference!H$10*($A11*1000-Inputs!$C$24)/1000)</f>
        <v>-13.2024062590876</v>
      </c>
      <c r="I11" s="17" t="n">
        <f aca="false">IF(OR(Inputs!$B$24="",Inputs!$C$24=""),"",Inputs!I$31+Inputs!$B$24-Inputs!$K$31-20*LOG10($A11*1000/Inputs!$C$24)-Reference!I$10*($A11*1000-Inputs!$C$24)/1000)</f>
        <v>-132.502265646482</v>
      </c>
      <c r="J11" s="17" t="n">
        <f aca="false">IF(OR(Inputs!$B$24="",Inputs!$C$24=""),"",Inputs!J$31+Inputs!$B$24-Inputs!$K$31-20*LOG10($A11*1000/Inputs!$C$24)-Reference!J$10*($A11*1000-Inputs!$C$24)/1000)</f>
        <v>-558.220720899667</v>
      </c>
      <c r="K11" s="17" t="n">
        <f aca="false">IF(COUNT(B11:J11)&lt;9,"",10*LOG10(SUMPRODUCT(10^((B11:J11+Reference!$B$7:$J$7)/10))))</f>
        <v>36.1258694073274</v>
      </c>
      <c r="L11" s="17" t="n">
        <f aca="false">IF(COUNT(B11:J11)&lt;9,"",10*LOG10(SUMPRODUCT(10^((B11:J11+Reference!$B$8:$J$8)/10))))</f>
        <v>55.4294733273133</v>
      </c>
      <c r="M11" s="17" t="n">
        <f aca="false">IF(ISNUMBER(K11),Inputs!$B$12-K11,"")</f>
        <v>-1.12586940732741</v>
      </c>
      <c r="N11" s="8" t="str">
        <f aca="false">IF(ISNUMBER(M11),IF(M11&gt;=0,"yes","no"),"")</f>
        <v>no</v>
      </c>
    </row>
    <row r="12" customFormat="false" ht="15" hidden="false" customHeight="false" outlineLevel="0" collapsed="false">
      <c r="A12" s="20" t="n">
        <f aca="false">Inputs!$A$20</f>
        <v>10</v>
      </c>
      <c r="B12" s="17" t="n">
        <f aca="false">IF(OR(Inputs!$B$24="",Inputs!$C$24=""),"",Inputs!B$31+Inputs!$B$24-Inputs!$K$31-20*LOG10($A12*1000/Inputs!$C$24)-Reference!B$10*($A12*1000-Inputs!$C$24)/1000)</f>
        <v>39.6801114972677</v>
      </c>
      <c r="C12" s="17" t="n">
        <f aca="false">IF(OR(Inputs!$B$24="",Inputs!$C$24=""),"",Inputs!C$31+Inputs!$B$24-Inputs!$K$31-20*LOG10($A12*1000/Inputs!$C$24)-Reference!C$10*($A12*1000-Inputs!$C$24)/1000)</f>
        <v>48.7844040657824</v>
      </c>
      <c r="D12" s="17" t="n">
        <f aca="false">IF(OR(Inputs!$B$24="",Inputs!$C$24=""),"",Inputs!D$31+Inputs!$B$24-Inputs!$K$31-20*LOG10($A12*1000/Inputs!$C$24)-Reference!D$10*($A12*1000-Inputs!$C$24)/1000)</f>
        <v>36.8946880098837</v>
      </c>
      <c r="E12" s="17" t="n">
        <f aca="false">IF(OR(Inputs!$B$24="",Inputs!$C$24=""),"",Inputs!E$31+Inputs!$B$24-Inputs!$K$31-20*LOG10($A12*1000/Inputs!$C$24)-Reference!E$10*($A12*1000-Inputs!$C$24)/1000)</f>
        <v>27.5768414646467</v>
      </c>
      <c r="F12" s="17" t="n">
        <f aca="false">IF(OR(Inputs!$B$24="",Inputs!$C$24=""),"",Inputs!F$31+Inputs!$B$24-Inputs!$K$31-20*LOG10($A12*1000/Inputs!$C$24)-Reference!F$10*($A12*1000-Inputs!$C$24)/1000)</f>
        <v>18.7407387772465</v>
      </c>
      <c r="G12" s="17" t="n">
        <f aca="false">IF(OR(Inputs!$B$24="",Inputs!$C$24=""),"",Inputs!G$31+Inputs!$B$24-Inputs!$K$31-20*LOG10($A12*1000/Inputs!$C$24)-Reference!G$10*($A12*1000-Inputs!$C$24)/1000)</f>
        <v>-3.54019916818196</v>
      </c>
      <c r="H12" s="17" t="n">
        <f aca="false">IF(OR(Inputs!$B$24="",Inputs!$C$24=""),"",Inputs!H$31+Inputs!$B$24-Inputs!$K$31-20*LOG10($A12*1000/Inputs!$C$24)-Reference!H$10*($A12*1000-Inputs!$C$24)/1000)</f>
        <v>-67.5427329985293</v>
      </c>
      <c r="I12" s="17" t="n">
        <f aca="false">IF(OR(Inputs!$B$24="",Inputs!$C$24=""),"",Inputs!I$31+Inputs!$B$24-Inputs!$K$31-20*LOG10($A12*1000/Inputs!$C$24)-Reference!I$10*($A12*1000-Inputs!$C$24)/1000)</f>
        <v>-302.373513615778</v>
      </c>
      <c r="J12" s="17" t="n">
        <f aca="false">IF(OR(Inputs!$B$24="",Inputs!$C$24=""),"",Inputs!J$31+Inputs!$B$24-Inputs!$K$31-20*LOG10($A12*1000/Inputs!$C$24)-Reference!J$10*($A12*1000-Inputs!$C$24)/1000)</f>
        <v>-1148.65154327095</v>
      </c>
      <c r="K12" s="17" t="n">
        <f aca="false">IF(COUNT(B12:J12)&lt;9,"",10*LOG10(SUMPRODUCT(10^((B12:J12+Reference!$B$7:$J$7)/10))))</f>
        <v>26.2089834121382</v>
      </c>
      <c r="L12" s="17" t="n">
        <f aca="false">IF(COUNT(B12:J12)&lt;9,"",10*LOG10(SUMPRODUCT(10^((B12:J12+Reference!$B$8:$J$8)/10))))</f>
        <v>48.6239869916142</v>
      </c>
      <c r="M12" s="17" t="n">
        <f aca="false">IF(ISNUMBER(K12),Inputs!$B$12-K12,"")</f>
        <v>8.79101658786177</v>
      </c>
      <c r="N12" s="8" t="str">
        <f aca="false">IF(ISNUMBER(M12),IF(M12&gt;=0,"yes","no"),"")</f>
        <v>yes</v>
      </c>
    </row>
    <row r="13" customFormat="false" ht="15" hidden="false" customHeight="false" outlineLevel="0" collapsed="false">
      <c r="A13" s="7" t="s">
        <v>124</v>
      </c>
    </row>
    <row r="14" customFormat="false" ht="23.85" hidden="false" customHeight="false" outlineLevel="0" collapsed="false">
      <c r="A14" s="13" t="s">
        <v>114</v>
      </c>
      <c r="B14" s="13" t="s">
        <v>64</v>
      </c>
      <c r="C14" s="13" t="s">
        <v>65</v>
      </c>
      <c r="D14" s="13" t="s">
        <v>66</v>
      </c>
      <c r="E14" s="13" t="s">
        <v>67</v>
      </c>
      <c r="F14" s="13" t="s">
        <v>68</v>
      </c>
      <c r="G14" s="13" t="s">
        <v>69</v>
      </c>
      <c r="H14" s="13" t="s">
        <v>70</v>
      </c>
      <c r="I14" s="13" t="s">
        <v>71</v>
      </c>
      <c r="J14" s="13" t="s">
        <v>72</v>
      </c>
      <c r="K14" s="13" t="s">
        <v>125</v>
      </c>
      <c r="L14" s="13" t="s">
        <v>88</v>
      </c>
    </row>
    <row r="15" customFormat="false" ht="15" hidden="false" customHeight="false" outlineLevel="0" collapsed="false">
      <c r="A15" s="17" t="n">
        <f aca="false">A7</f>
        <v>0.5</v>
      </c>
      <c r="B15" s="17" t="n">
        <f aca="false">IF(ISNUMBER(B7),Reference!B$9-B7,"")</f>
        <v>-6.50498690377164</v>
      </c>
      <c r="C15" s="17" t="n">
        <f aca="false">IF(ISNUMBER(C7),Reference!C$9-C7,"")</f>
        <v>-38.4610533060311</v>
      </c>
      <c r="D15" s="17" t="n">
        <f aca="false">IF(ISNUMBER(D7),Reference!D$9-D7,"")</f>
        <v>-44.7193154814675</v>
      </c>
      <c r="E15" s="17" t="n">
        <f aca="false">IF(ISNUMBER(E7),Reference!E$9-E7,"")</f>
        <v>-52.1094311163858</v>
      </c>
      <c r="F15" s="17" t="n">
        <f aca="false">IF(ISNUMBER(F7),Reference!F$9-F7,"")</f>
        <v>-58.6760286822691</v>
      </c>
      <c r="G15" s="17" t="n">
        <f aca="false">IF(ISNUMBER(G7),Reference!G$9-G7,"")</f>
        <v>-54.8284151093702</v>
      </c>
      <c r="H15" s="17" t="n">
        <f aca="false">IF(ISNUMBER(H7),Reference!H$9-H7,"")</f>
        <v>-51.5853478844583</v>
      </c>
      <c r="I15" s="17" t="n">
        <f aca="false">IF(ISNUMBER(I7),Reference!I$9-I7,"")</f>
        <v>-40.3633176039326</v>
      </c>
      <c r="J15" s="17" t="n">
        <f aca="false">IF(ISNUMBER(J7),Reference!J$9-J7,"")</f>
        <v>24.8515206874624</v>
      </c>
      <c r="K15" s="17" t="n">
        <f aca="false">IF(COUNT(B15:J15)=0,"",MIN(B15:J15))</f>
        <v>-58.6760286822691</v>
      </c>
      <c r="L15" s="8" t="str">
        <f aca="false">IF(COUNT(B15:J15)&lt;9,"",IF(K15&gt;=0,"yes","no"))</f>
        <v>no</v>
      </c>
    </row>
    <row r="16" customFormat="false" ht="15" hidden="false" customHeight="false" outlineLevel="0" collapsed="false">
      <c r="A16" s="17" t="n">
        <f aca="false">A8</f>
        <v>1</v>
      </c>
      <c r="B16" s="17" t="n">
        <f aca="false">IF(ISNUMBER(B8),Reference!B$9-B8,"")</f>
        <v>-0.46837249084863</v>
      </c>
      <c r="C16" s="17" t="n">
        <f aca="false">IF(ISNUMBER(C8),Reference!C$9-C8,"")</f>
        <v>-32.3796086913321</v>
      </c>
      <c r="D16" s="17" t="n">
        <f aca="false">IF(ISNUMBER(D8),Reference!D$9-D8,"")</f>
        <v>-38.4932404335403</v>
      </c>
      <c r="E16" s="17" t="n">
        <f aca="false">IF(ISNUMBER(E8),Reference!E$9-E8,"")</f>
        <v>-45.567147532661</v>
      </c>
      <c r="F16" s="17" t="n">
        <f aca="false">IF(ISNUMBER(F8),Reference!F$9-F8,"")</f>
        <v>-51.6914977167925</v>
      </c>
      <c r="G16" s="17" t="n">
        <f aca="false">IF(ISNUMBER(G8),Reference!G$9-G8,"")</f>
        <v>-46.9789723348131</v>
      </c>
      <c r="H16" s="17" t="n">
        <f aca="false">IF(ISNUMBER(H8),Reference!H$9-H8,"")</f>
        <v>-40.7327752885624</v>
      </c>
      <c r="I16" s="17" t="n">
        <f aca="false">IF(ISNUMBER(I8),Reference!I$9-I8,"")</f>
        <v>-17.9576528850513</v>
      </c>
      <c r="J16" s="17" t="n">
        <f aca="false">IF(ISNUMBER(J8),Reference!J$9-J8,"")</f>
        <v>89.3131428465425</v>
      </c>
      <c r="K16" s="17" t="n">
        <f aca="false">IF(COUNT(B16:J16)=0,"",MIN(B16:J16))</f>
        <v>-51.6914977167925</v>
      </c>
      <c r="L16" s="8" t="str">
        <f aca="false">IF(COUNT(B16:J16)&lt;9,"",IF(K16&gt;=0,"yes","no"))</f>
        <v>no</v>
      </c>
    </row>
    <row r="17" customFormat="false" ht="15" hidden="false" customHeight="false" outlineLevel="0" collapsed="false">
      <c r="A17" s="17" t="n">
        <f aca="false">A9</f>
        <v>2</v>
      </c>
      <c r="B17" s="17" t="n">
        <f aca="false">IF(ISNUMBER(B9),Reference!B$9-B9,"")</f>
        <v>5.58425642171777</v>
      </c>
      <c r="C17" s="17" t="n">
        <f aca="false">IF(ISNUMBER(C9),Reference!C$9-C9,"")</f>
        <v>-26.2373193752136</v>
      </c>
      <c r="D17" s="17" t="n">
        <f aca="false">IF(ISNUMBER(D9),Reference!D$9-D9,"")</f>
        <v>-32.0616902509655</v>
      </c>
      <c r="E17" s="17" t="n">
        <f aca="false">IF(ISNUMBER(E9),Reference!E$9-E9,"")</f>
        <v>-38.5031802784909</v>
      </c>
      <c r="F17" s="17" t="n">
        <f aca="false">IF(ISNUMBER(F9),Reference!F$9-F9,"")</f>
        <v>-43.7430356991189</v>
      </c>
      <c r="G17" s="17" t="n">
        <f aca="false">IF(ISNUMBER(G9),Reference!G$9-G9,"")</f>
        <v>-37.3006866989785</v>
      </c>
      <c r="H17" s="17" t="n">
        <f aca="false">IF(ISNUMBER(H9),Reference!H$9-H9,"")</f>
        <v>-25.0482300100504</v>
      </c>
      <c r="I17" s="17" t="n">
        <f aca="false">IF(ISNUMBER(I9),Reference!I$9-I9,"")</f>
        <v>20.8330766394315</v>
      </c>
      <c r="J17" s="17" t="n">
        <f aca="false">IF(ISNUMBER(J9),Reference!J$9-J9,"")</f>
        <v>212.215787251423</v>
      </c>
      <c r="K17" s="17" t="n">
        <f aca="false">IF(COUNT(B17:J17)=0,"",MIN(B17:J17))</f>
        <v>-43.7430356991189</v>
      </c>
      <c r="L17" s="8" t="str">
        <f aca="false">IF(COUNT(B17:J17)&lt;9,"",IF(K17&gt;=0,"yes","no"))</f>
        <v>no</v>
      </c>
    </row>
    <row r="18" customFormat="false" ht="15" hidden="false" customHeight="false" outlineLevel="0" collapsed="false">
      <c r="A18" s="17" t="n">
        <f aca="false">A10</f>
        <v>3</v>
      </c>
      <c r="B18" s="17" t="n">
        <f aca="false">IF(ISNUMBER(B10),Reference!B$9-B10,"")</f>
        <v>9.13811060211817</v>
      </c>
      <c r="C18" s="17" t="n">
        <f aca="false">IF(ISNUMBER(C10),Reference!C$9-C10,"")</f>
        <v>-22.5938047912611</v>
      </c>
      <c r="D18" s="17" t="n">
        <f aca="false">IF(ISNUMBER(D10),Reference!D$9-D10,"")</f>
        <v>-28.1289148005567</v>
      </c>
      <c r="E18" s="17" t="n">
        <f aca="false">IF(ISNUMBER(E10),Reference!E$9-E10,"")</f>
        <v>-33.9379877564868</v>
      </c>
      <c r="F18" s="17" t="n">
        <f aca="false">IF(ISNUMBER(F10),Reference!F$9-F10,"")</f>
        <v>-38.2933484136112</v>
      </c>
      <c r="G18" s="17" t="n">
        <f aca="false">IF(ISNUMBER(G10),Reference!G$9-G10,"")</f>
        <v>-30.1211757953098</v>
      </c>
      <c r="H18" s="17" t="n">
        <f aca="false">IF(ISNUMBER(H10),Reference!H$9-H10,"")</f>
        <v>-11.8624594637044</v>
      </c>
      <c r="I18" s="17" t="n">
        <f aca="false">IF(ISNUMBER(I10),Reference!I$9-I10,"")</f>
        <v>57.1250314317484</v>
      </c>
      <c r="J18" s="17" t="n">
        <f aca="false">IF(ISNUMBER(J10),Reference!J$9-J10,"")</f>
        <v>332.619656924138</v>
      </c>
      <c r="K18" s="17" t="n">
        <f aca="false">IF(COUNT(B18:J18)=0,"",MIN(B18:J18))</f>
        <v>-38.2933484136112</v>
      </c>
      <c r="L18" s="8" t="str">
        <f aca="false">IF(COUNT(B18:J18)&lt;9,"",IF(K18&gt;=0,"yes","no"))</f>
        <v>no</v>
      </c>
    </row>
    <row r="19" customFormat="false" ht="15" hidden="false" customHeight="false" outlineLevel="0" collapsed="false">
      <c r="A19" s="17" t="n">
        <f aca="false">A11</f>
        <v>5</v>
      </c>
      <c r="B19" s="17" t="n">
        <f aca="false">IF(ISNUMBER(B11),Reference!B$9-B11,"")</f>
        <v>13.6391435930188</v>
      </c>
      <c r="C19" s="17" t="n">
        <f aca="false">IF(ISNUMBER(C11),Reference!C$9-C11,"")</f>
        <v>-17.9134509932563</v>
      </c>
      <c r="D19" s="17" t="n">
        <f aca="false">IF(ISNUMBER(D11),Reference!D$9-D11,"")</f>
        <v>-22.8700392696392</v>
      </c>
      <c r="E19" s="17" t="n">
        <f aca="false">IF(ISNUMBER(E11),Reference!E$9-E11,"")</f>
        <v>-27.4142780823787</v>
      </c>
      <c r="F19" s="17" t="n">
        <f aca="false">IF(ISNUMBER(F11),Reference!F$9-F11,"")</f>
        <v>-30.0006492124961</v>
      </c>
      <c r="G19" s="17" t="n">
        <f aca="false">IF(ISNUMBER(G11),Reference!G$9-G11,"")</f>
        <v>-18.3688293578727</v>
      </c>
      <c r="H19" s="17" t="n">
        <f aca="false">IF(ISNUMBER(H11),Reference!H$9-H11,"")</f>
        <v>11.9024062590876</v>
      </c>
      <c r="I19" s="17" t="n">
        <f aca="false">IF(ISNUMBER(I11),Reference!I$9-I11,"")</f>
        <v>127.102265646482</v>
      </c>
      <c r="J19" s="17" t="n">
        <f aca="false">IF(ISNUMBER(J11),Reference!J$9-J11,"")</f>
        <v>570.820720899667</v>
      </c>
      <c r="K19" s="17" t="n">
        <f aca="false">IF(COUNT(B19:J19)=0,"",MIN(B19:J19))</f>
        <v>-30.0006492124961</v>
      </c>
      <c r="L19" s="8" t="str">
        <f aca="false">IF(COUNT(B19:J19)&lt;9,"",IF(K19&gt;=0,"yes","no"))</f>
        <v>no</v>
      </c>
    </row>
    <row r="20" customFormat="false" ht="15" hidden="false" customHeight="false" outlineLevel="0" collapsed="false">
      <c r="A20" s="17" t="n">
        <f aca="false">A12</f>
        <v>10</v>
      </c>
      <c r="B20" s="17" t="n">
        <f aca="false">IF(ISNUMBER(B12),Reference!B$9-B12,"")</f>
        <v>19.8198885027323</v>
      </c>
      <c r="C20" s="17" t="n">
        <f aca="false">IF(ISNUMBER(C12),Reference!C$9-C12,"")</f>
        <v>-11.2844040657824</v>
      </c>
      <c r="D20" s="17" t="n">
        <f aca="false">IF(ISNUMBER(D12),Reference!D$9-D12,"")</f>
        <v>-14.7946880098837</v>
      </c>
      <c r="E20" s="17" t="n">
        <f aca="false">IF(ISNUMBER(E12),Reference!E$9-E12,"")</f>
        <v>-16.1768414646468</v>
      </c>
      <c r="F20" s="17" t="n">
        <f aca="false">IF(ISNUMBER(F12),Reference!F$9-F12,"")</f>
        <v>-14.3407387772465</v>
      </c>
      <c r="G20" s="17" t="n">
        <f aca="false">IF(ISNUMBER(G12),Reference!G$9-G12,"")</f>
        <v>5.94019916818196</v>
      </c>
      <c r="H20" s="17" t="n">
        <f aca="false">IF(ISNUMBER(H12),Reference!H$9-H12,"")</f>
        <v>66.2427329985293</v>
      </c>
      <c r="I20" s="17" t="n">
        <f aca="false">IF(ISNUMBER(I12),Reference!I$9-I12,"")</f>
        <v>296.973513615778</v>
      </c>
      <c r="J20" s="17" t="n">
        <f aca="false">IF(ISNUMBER(J12),Reference!J$9-J12,"")</f>
        <v>1161.25154327095</v>
      </c>
      <c r="K20" s="17" t="n">
        <f aca="false">IF(COUNT(B20:J20)=0,"",MIN(B20:J20))</f>
        <v>-16.1768414646468</v>
      </c>
      <c r="L20" s="8" t="str">
        <f aca="false">IF(COUNT(B20:J20)&lt;9,"",IF(K20&gt;=0,"yes","no"))</f>
        <v>no</v>
      </c>
    </row>
    <row r="22" customFormat="false" ht="15" hidden="false" customHeight="false" outlineLevel="0" collapsed="false">
      <c r="A22" s="26" t="str">
        <f aca="false">"Class: "&amp;Inputs!A24&amp;"   Character: "&amp;Inputs!A32</f>
        <v>Class: Small PA   Character: Bass heavy</v>
      </c>
    </row>
    <row r="23" customFormat="false" ht="15" hidden="false" customHeight="false" outlineLevel="0" collapsed="false">
      <c r="A23" s="7" t="s">
        <v>120</v>
      </c>
    </row>
    <row r="24" customFormat="false" ht="23.85" hidden="false" customHeight="false" outlineLevel="0" collapsed="false">
      <c r="A24" s="13" t="s">
        <v>114</v>
      </c>
      <c r="B24" s="13" t="s">
        <v>64</v>
      </c>
      <c r="C24" s="13" t="s">
        <v>65</v>
      </c>
      <c r="D24" s="13" t="s">
        <v>66</v>
      </c>
      <c r="E24" s="13" t="s">
        <v>67</v>
      </c>
      <c r="F24" s="13" t="s">
        <v>68</v>
      </c>
      <c r="G24" s="13" t="s">
        <v>69</v>
      </c>
      <c r="H24" s="13" t="s">
        <v>70</v>
      </c>
      <c r="I24" s="13" t="s">
        <v>71</v>
      </c>
      <c r="J24" s="13" t="s">
        <v>72</v>
      </c>
      <c r="K24" s="13" t="s">
        <v>121</v>
      </c>
      <c r="L24" s="13" t="s">
        <v>122</v>
      </c>
      <c r="M24" s="13" t="s">
        <v>86</v>
      </c>
      <c r="N24" s="13" t="s">
        <v>123</v>
      </c>
    </row>
    <row r="25" customFormat="false" ht="15" hidden="false" customHeight="false" outlineLevel="0" collapsed="false">
      <c r="A25" s="20" t="n">
        <f aca="false">Inputs!$A$15</f>
        <v>0.5</v>
      </c>
      <c r="B25" s="17" t="n">
        <f aca="false">IF(OR(Inputs!$B$24="",Inputs!$C$24=""),"",Inputs!B$32+Inputs!$B$24-Inputs!$K$32-20*LOG10($A25*1000/Inputs!$C$24)-Reference!B$10*($A25*1000-Inputs!$C$24)/1000)</f>
        <v>75.6033728128229</v>
      </c>
      <c r="C25" s="17" t="n">
        <f aca="false">IF(OR(Inputs!$B$24="",Inputs!$C$24=""),"",Inputs!C$32+Inputs!$B$24-Inputs!$K$32-20*LOG10($A25*1000/Inputs!$C$24)-Reference!C$10*($A25*1000-Inputs!$C$24)/1000)</f>
        <v>79.5594392150824</v>
      </c>
      <c r="D25" s="17" t="n">
        <f aca="false">IF(OR(Inputs!$B$24="",Inputs!$C$24=""),"",Inputs!D$32+Inputs!$B$24-Inputs!$K$32-20*LOG10($A25*1000/Inputs!$C$24)-Reference!D$10*($A25*1000-Inputs!$C$24)/1000)</f>
        <v>64.4177013905188</v>
      </c>
      <c r="E25" s="17" t="n">
        <f aca="false">IF(OR(Inputs!$B$24="",Inputs!$C$24=""),"",Inputs!E$32+Inputs!$B$24-Inputs!$K$32-20*LOG10($A25*1000/Inputs!$C$24)-Reference!E$10*($A25*1000-Inputs!$C$24)/1000)</f>
        <v>62.1078170254371</v>
      </c>
      <c r="F25" s="17" t="n">
        <f aca="false">IF(OR(Inputs!$B$24="",Inputs!$C$24=""),"",Inputs!F$32+Inputs!$B$24-Inputs!$K$32-20*LOG10($A25*1000/Inputs!$C$24)-Reference!F$10*($A25*1000-Inputs!$C$24)/1000)</f>
        <v>59.6744145913204</v>
      </c>
      <c r="G25" s="17" t="n">
        <f aca="false">IF(OR(Inputs!$B$24="",Inputs!$C$24=""),"",Inputs!G$32+Inputs!$B$24-Inputs!$K$32-20*LOG10($A25*1000/Inputs!$C$24)-Reference!G$10*($A25*1000-Inputs!$C$24)/1000)</f>
        <v>58.8268010184215</v>
      </c>
      <c r="H25" s="17" t="n">
        <f aca="false">IF(OR(Inputs!$B$24="",Inputs!$C$24=""),"",Inputs!H$32+Inputs!$B$24-Inputs!$K$32-20*LOG10($A25*1000/Inputs!$C$24)-Reference!H$10*($A25*1000-Inputs!$C$24)/1000)</f>
        <v>51.8837337935096</v>
      </c>
      <c r="I25" s="17" t="n">
        <f aca="false">IF(OR(Inputs!$B$24="",Inputs!$C$24=""),"",Inputs!I$32+Inputs!$B$24-Inputs!$K$32-20*LOG10($A25*1000/Inputs!$C$24)-Reference!I$10*($A25*1000-Inputs!$C$24)/1000)</f>
        <v>36.5617035129839</v>
      </c>
      <c r="J25" s="17" t="n">
        <f aca="false">IF(OR(Inputs!$B$24="",Inputs!$C$24=""),"",Inputs!J$32+Inputs!$B$24-Inputs!$K$32-20*LOG10($A25*1000/Inputs!$C$24)-Reference!J$10*($A25*1000-Inputs!$C$24)/1000)</f>
        <v>-6.65313477841109</v>
      </c>
      <c r="K25" s="17" t="n">
        <f aca="false">IF(COUNT(B25:J25)&lt;9,"",10*LOG10(SUMPRODUCT(10^((B25:J25+Reference!$B$7:$J$7)/10))))</f>
        <v>62.8544971641344</v>
      </c>
      <c r="L25" s="17" t="n">
        <f aca="false">IF(COUNT(B25:J25)&lt;9,"",10*LOG10(SUMPRODUCT(10^((B25:J25+Reference!$B$8:$J$8)/10))))</f>
        <v>79.9769930276086</v>
      </c>
      <c r="M25" s="17" t="n">
        <f aca="false">IF(ISNUMBER(K25),Inputs!$B$12-K25,"")</f>
        <v>-27.8544971641344</v>
      </c>
      <c r="N25" s="8" t="str">
        <f aca="false">IF(ISNUMBER(M25),IF(M25&gt;=0,"yes","no"),"")</f>
        <v>no</v>
      </c>
    </row>
    <row r="26" customFormat="false" ht="15" hidden="false" customHeight="false" outlineLevel="0" collapsed="false">
      <c r="A26" s="20" t="n">
        <f aca="false">Inputs!$A$16</f>
        <v>1</v>
      </c>
      <c r="B26" s="17" t="n">
        <f aca="false">IF(OR(Inputs!$B$24="",Inputs!$C$24=""),"",Inputs!B$32+Inputs!$B$24-Inputs!$K$32-20*LOG10($A26*1000/Inputs!$C$24)-Reference!B$10*($A26*1000-Inputs!$C$24)/1000)</f>
        <v>69.5667583998999</v>
      </c>
      <c r="C26" s="17" t="n">
        <f aca="false">IF(OR(Inputs!$B$24="",Inputs!$C$24=""),"",Inputs!C$32+Inputs!$B$24-Inputs!$K$32-20*LOG10($A26*1000/Inputs!$C$24)-Reference!C$10*($A26*1000-Inputs!$C$24)/1000)</f>
        <v>73.4779946003833</v>
      </c>
      <c r="D26" s="17" t="n">
        <f aca="false">IF(OR(Inputs!$B$24="",Inputs!$C$24=""),"",Inputs!D$32+Inputs!$B$24-Inputs!$K$32-20*LOG10($A26*1000/Inputs!$C$24)-Reference!D$10*($A26*1000-Inputs!$C$24)/1000)</f>
        <v>58.1916263425916</v>
      </c>
      <c r="E26" s="17" t="n">
        <f aca="false">IF(OR(Inputs!$B$24="",Inputs!$C$24=""),"",Inputs!E$32+Inputs!$B$24-Inputs!$K$32-20*LOG10($A26*1000/Inputs!$C$24)-Reference!E$10*($A26*1000-Inputs!$C$24)/1000)</f>
        <v>55.5655334417122</v>
      </c>
      <c r="F26" s="17" t="n">
        <f aca="false">IF(OR(Inputs!$B$24="",Inputs!$C$24=""),"",Inputs!F$32+Inputs!$B$24-Inputs!$K$32-20*LOG10($A26*1000/Inputs!$C$24)-Reference!F$10*($A26*1000-Inputs!$C$24)/1000)</f>
        <v>52.6898836258437</v>
      </c>
      <c r="G26" s="17" t="n">
        <f aca="false">IF(OR(Inputs!$B$24="",Inputs!$C$24=""),"",Inputs!G$32+Inputs!$B$24-Inputs!$K$32-20*LOG10($A26*1000/Inputs!$C$24)-Reference!G$10*($A26*1000-Inputs!$C$24)/1000)</f>
        <v>50.9773582438644</v>
      </c>
      <c r="H26" s="17" t="n">
        <f aca="false">IF(OR(Inputs!$B$24="",Inputs!$C$24=""),"",Inputs!H$32+Inputs!$B$24-Inputs!$K$32-20*LOG10($A26*1000/Inputs!$C$24)-Reference!H$10*($A26*1000-Inputs!$C$24)/1000)</f>
        <v>41.0311611976137</v>
      </c>
      <c r="I26" s="17" t="n">
        <f aca="false">IF(OR(Inputs!$B$24="",Inputs!$C$24=""),"",Inputs!I$32+Inputs!$B$24-Inputs!$K$32-20*LOG10($A26*1000/Inputs!$C$24)-Reference!I$10*($A26*1000-Inputs!$C$24)/1000)</f>
        <v>14.1560387941026</v>
      </c>
      <c r="J26" s="17" t="n">
        <f aca="false">IF(OR(Inputs!$B$24="",Inputs!$C$24=""),"",Inputs!J$32+Inputs!$B$24-Inputs!$K$32-20*LOG10($A26*1000/Inputs!$C$24)-Reference!J$10*($A26*1000-Inputs!$C$24)/1000)</f>
        <v>-71.1147569374913</v>
      </c>
      <c r="K26" s="17" t="n">
        <f aca="false">IF(COUNT(B26:J26)&lt;9,"",10*LOG10(SUMPRODUCT(10^((B26:J26+Reference!$B$7:$J$7)/10))))</f>
        <v>55.456584984202</v>
      </c>
      <c r="L26" s="17" t="n">
        <f aca="false">IF(COUNT(B26:J26)&lt;9,"",10*LOG10(SUMPRODUCT(10^((B26:J26+Reference!$B$8:$J$8)/10))))</f>
        <v>73.8696035191191</v>
      </c>
      <c r="M26" s="17" t="n">
        <f aca="false">IF(ISNUMBER(K26),Inputs!$B$12-K26,"")</f>
        <v>-20.456584984202</v>
      </c>
      <c r="N26" s="8" t="str">
        <f aca="false">IF(ISNUMBER(M26),IF(M26&gt;=0,"yes","no"),"")</f>
        <v>no</v>
      </c>
    </row>
    <row r="27" customFormat="false" ht="15" hidden="false" customHeight="false" outlineLevel="0" collapsed="false">
      <c r="A27" s="20" t="n">
        <f aca="false">Inputs!$A$17</f>
        <v>2</v>
      </c>
      <c r="B27" s="17" t="n">
        <f aca="false">IF(OR(Inputs!$B$24="",Inputs!$C$24=""),"",Inputs!B$32+Inputs!$B$24-Inputs!$K$32-20*LOG10($A27*1000/Inputs!$C$24)-Reference!B$10*($A27*1000-Inputs!$C$24)/1000)</f>
        <v>63.5141294873335</v>
      </c>
      <c r="C27" s="17" t="n">
        <f aca="false">IF(OR(Inputs!$B$24="",Inputs!$C$24=""),"",Inputs!C$32+Inputs!$B$24-Inputs!$K$32-20*LOG10($A27*1000/Inputs!$C$24)-Reference!C$10*($A27*1000-Inputs!$C$24)/1000)</f>
        <v>67.3357052842649</v>
      </c>
      <c r="D27" s="17" t="n">
        <f aca="false">IF(OR(Inputs!$B$24="",Inputs!$C$24=""),"",Inputs!D$32+Inputs!$B$24-Inputs!$K$32-20*LOG10($A27*1000/Inputs!$C$24)-Reference!D$10*($A27*1000-Inputs!$C$24)/1000)</f>
        <v>51.7600761600168</v>
      </c>
      <c r="E27" s="17" t="n">
        <f aca="false">IF(OR(Inputs!$B$24="",Inputs!$C$24=""),"",Inputs!E$32+Inputs!$B$24-Inputs!$K$32-20*LOG10($A27*1000/Inputs!$C$24)-Reference!E$10*($A27*1000-Inputs!$C$24)/1000)</f>
        <v>48.5015661875421</v>
      </c>
      <c r="F27" s="17" t="n">
        <f aca="false">IF(OR(Inputs!$B$24="",Inputs!$C$24=""),"",Inputs!F$32+Inputs!$B$24-Inputs!$K$32-20*LOG10($A27*1000/Inputs!$C$24)-Reference!F$10*($A27*1000-Inputs!$C$24)/1000)</f>
        <v>44.7414216081701</v>
      </c>
      <c r="G27" s="17" t="n">
        <f aca="false">IF(OR(Inputs!$B$24="",Inputs!$C$24=""),"",Inputs!G$32+Inputs!$B$24-Inputs!$K$32-20*LOG10($A27*1000/Inputs!$C$24)-Reference!G$10*($A27*1000-Inputs!$C$24)/1000)</f>
        <v>41.2990726080297</v>
      </c>
      <c r="H27" s="17" t="n">
        <f aca="false">IF(OR(Inputs!$B$24="",Inputs!$C$24=""),"",Inputs!H$32+Inputs!$B$24-Inputs!$K$32-20*LOG10($A27*1000/Inputs!$C$24)-Reference!H$10*($A27*1000-Inputs!$C$24)/1000)</f>
        <v>25.3466159191017</v>
      </c>
      <c r="I27" s="17" t="n">
        <f aca="false">IF(OR(Inputs!$B$24="",Inputs!$C$24=""),"",Inputs!I$32+Inputs!$B$24-Inputs!$K$32-20*LOG10($A27*1000/Inputs!$C$24)-Reference!I$10*($A27*1000-Inputs!$C$24)/1000)</f>
        <v>-24.6346907303803</v>
      </c>
      <c r="J27" s="17" t="n">
        <f aca="false">IF(OR(Inputs!$B$24="",Inputs!$C$24=""),"",Inputs!J$32+Inputs!$B$24-Inputs!$K$32-20*LOG10($A27*1000/Inputs!$C$24)-Reference!J$10*($A27*1000-Inputs!$C$24)/1000)</f>
        <v>-194.017401342372</v>
      </c>
      <c r="K27" s="17" t="n">
        <f aca="false">IF(COUNT(B27:J27)&lt;9,"",10*LOG10(SUMPRODUCT(10^((B27:J27+Reference!$B$7:$J$7)/10))))</f>
        <v>47.3959586598538</v>
      </c>
      <c r="L27" s="17" t="n">
        <f aca="false">IF(COUNT(B27:J27)&lt;9,"",10*LOG10(SUMPRODUCT(10^((B27:J27+Reference!$B$8:$J$8)/10))))</f>
        <v>67.6989670091537</v>
      </c>
      <c r="M27" s="17" t="n">
        <f aca="false">IF(ISNUMBER(K27),Inputs!$B$12-K27,"")</f>
        <v>-12.3959586598538</v>
      </c>
      <c r="N27" s="8" t="str">
        <f aca="false">IF(ISNUMBER(M27),IF(M27&gt;=0,"yes","no"),"")</f>
        <v>no</v>
      </c>
    </row>
    <row r="28" customFormat="false" ht="15" hidden="false" customHeight="false" outlineLevel="0" collapsed="false">
      <c r="A28" s="20" t="n">
        <f aca="false">Inputs!$A$18</f>
        <v>3</v>
      </c>
      <c r="B28" s="17" t="n">
        <f aca="false">IF(OR(Inputs!$B$24="",Inputs!$C$24=""),"",Inputs!B$32+Inputs!$B$24-Inputs!$K$32-20*LOG10($A28*1000/Inputs!$C$24)-Reference!B$10*($A28*1000-Inputs!$C$24)/1000)</f>
        <v>59.9602753069331</v>
      </c>
      <c r="C28" s="17" t="n">
        <f aca="false">IF(OR(Inputs!$B$24="",Inputs!$C$24=""),"",Inputs!C$32+Inputs!$B$24-Inputs!$K$32-20*LOG10($A28*1000/Inputs!$C$24)-Reference!C$10*($A28*1000-Inputs!$C$24)/1000)</f>
        <v>63.6921907003124</v>
      </c>
      <c r="D28" s="17" t="n">
        <f aca="false">IF(OR(Inputs!$B$24="",Inputs!$C$24=""),"",Inputs!D$32+Inputs!$B$24-Inputs!$K$32-20*LOG10($A28*1000/Inputs!$C$24)-Reference!D$10*($A28*1000-Inputs!$C$24)/1000)</f>
        <v>47.827300709608</v>
      </c>
      <c r="E28" s="17" t="n">
        <f aca="false">IF(OR(Inputs!$B$24="",Inputs!$C$24=""),"",Inputs!E$32+Inputs!$B$24-Inputs!$K$32-20*LOG10($A28*1000/Inputs!$C$24)-Reference!E$10*($A28*1000-Inputs!$C$24)/1000)</f>
        <v>43.9363736655381</v>
      </c>
      <c r="F28" s="17" t="n">
        <f aca="false">IF(OR(Inputs!$B$24="",Inputs!$C$24=""),"",Inputs!F$32+Inputs!$B$24-Inputs!$K$32-20*LOG10($A28*1000/Inputs!$C$24)-Reference!F$10*($A28*1000-Inputs!$C$24)/1000)</f>
        <v>39.2917343226625</v>
      </c>
      <c r="G28" s="17" t="n">
        <f aca="false">IF(OR(Inputs!$B$24="",Inputs!$C$24=""),"",Inputs!G$32+Inputs!$B$24-Inputs!$K$32-20*LOG10($A28*1000/Inputs!$C$24)-Reference!G$10*($A28*1000-Inputs!$C$24)/1000)</f>
        <v>34.1195617043611</v>
      </c>
      <c r="H28" s="17" t="n">
        <f aca="false">IF(OR(Inputs!$B$24="",Inputs!$C$24=""),"",Inputs!H$32+Inputs!$B$24-Inputs!$K$32-20*LOG10($A28*1000/Inputs!$C$24)-Reference!H$10*($A28*1000-Inputs!$C$24)/1000)</f>
        <v>12.1608453727556</v>
      </c>
      <c r="I28" s="17" t="n">
        <f aca="false">IF(OR(Inputs!$B$24="",Inputs!$C$24=""),"",Inputs!I$32+Inputs!$B$24-Inputs!$K$32-20*LOG10($A28*1000/Inputs!$C$24)-Reference!I$10*($A28*1000-Inputs!$C$24)/1000)</f>
        <v>-60.9266455226971</v>
      </c>
      <c r="J28" s="17" t="n">
        <f aca="false">IF(OR(Inputs!$B$24="",Inputs!$C$24=""),"",Inputs!J$32+Inputs!$B$24-Inputs!$K$32-20*LOG10($A28*1000/Inputs!$C$24)-Reference!J$10*($A28*1000-Inputs!$C$24)/1000)</f>
        <v>-314.421271015087</v>
      </c>
      <c r="K28" s="17" t="n">
        <f aca="false">IF(COUNT(B28:J28)&lt;9,"",10*LOG10(SUMPRODUCT(10^((B28:J28+Reference!$B$7:$J$7)/10))))</f>
        <v>42.381011735944</v>
      </c>
      <c r="L28" s="17" t="n">
        <f aca="false">IF(COUNT(B28:J28)&lt;9,"",10*LOG10(SUMPRODUCT(10^((B28:J28+Reference!$B$8:$J$8)/10))))</f>
        <v>64.042723168275</v>
      </c>
      <c r="M28" s="17" t="n">
        <f aca="false">IF(ISNUMBER(K28),Inputs!$B$12-K28,"")</f>
        <v>-7.38101173594403</v>
      </c>
      <c r="N28" s="8" t="str">
        <f aca="false">IF(ISNUMBER(M28),IF(M28&gt;=0,"yes","no"),"")</f>
        <v>no</v>
      </c>
    </row>
    <row r="29" customFormat="false" ht="15" hidden="false" customHeight="false" outlineLevel="0" collapsed="false">
      <c r="A29" s="20" t="n">
        <f aca="false">Inputs!$A$19</f>
        <v>5</v>
      </c>
      <c r="B29" s="17" t="n">
        <f aca="false">IF(OR(Inputs!$B$24="",Inputs!$C$24=""),"",Inputs!B$32+Inputs!$B$24-Inputs!$K$32-20*LOG10($A29*1000/Inputs!$C$24)-Reference!B$10*($A29*1000-Inputs!$C$24)/1000)</f>
        <v>55.4592423160324</v>
      </c>
      <c r="C29" s="17" t="n">
        <f aca="false">IF(OR(Inputs!$B$24="",Inputs!$C$24=""),"",Inputs!C$32+Inputs!$B$24-Inputs!$K$32-20*LOG10($A29*1000/Inputs!$C$24)-Reference!C$10*($A29*1000-Inputs!$C$24)/1000)</f>
        <v>59.0118369023076</v>
      </c>
      <c r="D29" s="17" t="n">
        <f aca="false">IF(OR(Inputs!$B$24="",Inputs!$C$24=""),"",Inputs!D$32+Inputs!$B$24-Inputs!$K$32-20*LOG10($A29*1000/Inputs!$C$24)-Reference!D$10*($A29*1000-Inputs!$C$24)/1000)</f>
        <v>42.5684251786905</v>
      </c>
      <c r="E29" s="17" t="n">
        <f aca="false">IF(OR(Inputs!$B$24="",Inputs!$C$24=""),"",Inputs!E$32+Inputs!$B$24-Inputs!$K$32-20*LOG10($A29*1000/Inputs!$C$24)-Reference!E$10*($A29*1000-Inputs!$C$24)/1000)</f>
        <v>37.41266399143</v>
      </c>
      <c r="F29" s="17" t="n">
        <f aca="false">IF(OR(Inputs!$B$24="",Inputs!$C$24=""),"",Inputs!F$32+Inputs!$B$24-Inputs!$K$32-20*LOG10($A29*1000/Inputs!$C$24)-Reference!F$10*($A29*1000-Inputs!$C$24)/1000)</f>
        <v>30.9990351215474</v>
      </c>
      <c r="G29" s="17" t="n">
        <f aca="false">IF(OR(Inputs!$B$24="",Inputs!$C$24=""),"",Inputs!G$32+Inputs!$B$24-Inputs!$K$32-20*LOG10($A29*1000/Inputs!$C$24)-Reference!G$10*($A29*1000-Inputs!$C$24)/1000)</f>
        <v>22.367215266924</v>
      </c>
      <c r="H29" s="17" t="n">
        <f aca="false">IF(OR(Inputs!$B$24="",Inputs!$C$24=""),"",Inputs!H$32+Inputs!$B$24-Inputs!$K$32-20*LOG10($A29*1000/Inputs!$C$24)-Reference!H$10*($A29*1000-Inputs!$C$24)/1000)</f>
        <v>-11.6040203500363</v>
      </c>
      <c r="I29" s="17" t="n">
        <f aca="false">IF(OR(Inputs!$B$24="",Inputs!$C$24=""),"",Inputs!I$32+Inputs!$B$24-Inputs!$K$32-20*LOG10($A29*1000/Inputs!$C$24)-Reference!I$10*($A29*1000-Inputs!$C$24)/1000)</f>
        <v>-130.903879737431</v>
      </c>
      <c r="J29" s="17" t="n">
        <f aca="false">IF(OR(Inputs!$B$24="",Inputs!$C$24=""),"",Inputs!J$32+Inputs!$B$24-Inputs!$K$32-20*LOG10($A29*1000/Inputs!$C$24)-Reference!J$10*($A29*1000-Inputs!$C$24)/1000)</f>
        <v>-552.622334990616</v>
      </c>
      <c r="K29" s="17" t="n">
        <f aca="false">IF(COUNT(B29:J29)&lt;9,"",10*LOG10(SUMPRODUCT(10^((B29:J29+Reference!$B$7:$J$7)/10))))</f>
        <v>35.9442010505638</v>
      </c>
      <c r="L29" s="17" t="n">
        <f aca="false">IF(COUNT(B29:J29)&lt;9,"",10*LOG10(SUMPRODUCT(10^((B29:J29+Reference!$B$8:$J$8)/10))))</f>
        <v>59.3593947419803</v>
      </c>
      <c r="M29" s="17" t="n">
        <f aca="false">IF(ISNUMBER(K29),Inputs!$B$12-K29,"")</f>
        <v>-0.944201050563819</v>
      </c>
      <c r="N29" s="8" t="str">
        <f aca="false">IF(ISNUMBER(M29),IF(M29&gt;=0,"yes","no"),"")</f>
        <v>no</v>
      </c>
    </row>
    <row r="30" customFormat="false" ht="15" hidden="false" customHeight="false" outlineLevel="0" collapsed="false">
      <c r="A30" s="20" t="n">
        <f aca="false">Inputs!$A$20</f>
        <v>10</v>
      </c>
      <c r="B30" s="17" t="n">
        <f aca="false">IF(OR(Inputs!$B$24="",Inputs!$C$24=""),"",Inputs!B$32+Inputs!$B$24-Inputs!$K$32-20*LOG10($A30*1000/Inputs!$C$24)-Reference!B$10*($A30*1000-Inputs!$C$24)/1000)</f>
        <v>49.278497406319</v>
      </c>
      <c r="C30" s="17" t="n">
        <f aca="false">IF(OR(Inputs!$B$24="",Inputs!$C$24=""),"",Inputs!C$32+Inputs!$B$24-Inputs!$K$32-20*LOG10($A30*1000/Inputs!$C$24)-Reference!C$10*($A30*1000-Inputs!$C$24)/1000)</f>
        <v>52.3827899748337</v>
      </c>
      <c r="D30" s="17" t="n">
        <f aca="false">IF(OR(Inputs!$B$24="",Inputs!$C$24=""),"",Inputs!D$32+Inputs!$B$24-Inputs!$K$32-20*LOG10($A30*1000/Inputs!$C$24)-Reference!D$10*($A30*1000-Inputs!$C$24)/1000)</f>
        <v>34.493073918935</v>
      </c>
      <c r="E30" s="17" t="n">
        <f aca="false">IF(OR(Inputs!$B$24="",Inputs!$C$24=""),"",Inputs!E$32+Inputs!$B$24-Inputs!$K$32-20*LOG10($A30*1000/Inputs!$C$24)-Reference!E$10*($A30*1000-Inputs!$C$24)/1000)</f>
        <v>26.175227373698</v>
      </c>
      <c r="F30" s="17" t="n">
        <f aca="false">IF(OR(Inputs!$B$24="",Inputs!$C$24=""),"",Inputs!F$32+Inputs!$B$24-Inputs!$K$32-20*LOG10($A30*1000/Inputs!$C$24)-Reference!F$10*($A30*1000-Inputs!$C$24)/1000)</f>
        <v>15.3391246862977</v>
      </c>
      <c r="G30" s="17" t="n">
        <f aca="false">IF(OR(Inputs!$B$24="",Inputs!$C$24=""),"",Inputs!G$32+Inputs!$B$24-Inputs!$K$32-20*LOG10($A30*1000/Inputs!$C$24)-Reference!G$10*($A30*1000-Inputs!$C$24)/1000)</f>
        <v>-1.94181325913068</v>
      </c>
      <c r="H30" s="17" t="n">
        <f aca="false">IF(OR(Inputs!$B$24="",Inputs!$C$24=""),"",Inputs!H$32+Inputs!$B$24-Inputs!$K$32-20*LOG10($A30*1000/Inputs!$C$24)-Reference!H$10*($A30*1000-Inputs!$C$24)/1000)</f>
        <v>-65.944347089478</v>
      </c>
      <c r="I30" s="17" t="n">
        <f aca="false">IF(OR(Inputs!$B$24="",Inputs!$C$24=""),"",Inputs!I$32+Inputs!$B$24-Inputs!$K$32-20*LOG10($A30*1000/Inputs!$C$24)-Reference!I$10*($A30*1000-Inputs!$C$24)/1000)</f>
        <v>-300.775127706727</v>
      </c>
      <c r="J30" s="17" t="n">
        <f aca="false">IF(OR(Inputs!$B$24="",Inputs!$C$24=""),"",Inputs!J$32+Inputs!$B$24-Inputs!$K$32-20*LOG10($A30*1000/Inputs!$C$24)-Reference!J$10*($A30*1000-Inputs!$C$24)/1000)</f>
        <v>-1143.0531573619</v>
      </c>
      <c r="K30" s="17" t="n">
        <f aca="false">IF(COUNT(B30:J30)&lt;9,"",10*LOG10(SUMPRODUCT(10^((B30:J30+Reference!$B$7:$J$7)/10))))</f>
        <v>27.545307978918</v>
      </c>
      <c r="L30" s="17" t="n">
        <f aca="false">IF(COUNT(B30:J30)&lt;9,"",10*LOG10(SUMPRODUCT(10^((B30:J30+Reference!$B$8:$J$8)/10))))</f>
        <v>52.7773790339111</v>
      </c>
      <c r="M30" s="17" t="n">
        <f aca="false">IF(ISNUMBER(K30),Inputs!$B$12-K30,"")</f>
        <v>7.45469202108204</v>
      </c>
      <c r="N30" s="8" t="str">
        <f aca="false">IF(ISNUMBER(M30),IF(M30&gt;=0,"yes","no"),"")</f>
        <v>yes</v>
      </c>
    </row>
    <row r="31" customFormat="false" ht="15" hidden="false" customHeight="false" outlineLevel="0" collapsed="false">
      <c r="A31" s="7" t="s">
        <v>124</v>
      </c>
    </row>
    <row r="32" customFormat="false" ht="23.85" hidden="false" customHeight="false" outlineLevel="0" collapsed="false">
      <c r="A32" s="13" t="s">
        <v>114</v>
      </c>
      <c r="B32" s="13" t="s">
        <v>64</v>
      </c>
      <c r="C32" s="13" t="s">
        <v>65</v>
      </c>
      <c r="D32" s="13" t="s">
        <v>66</v>
      </c>
      <c r="E32" s="13" t="s">
        <v>67</v>
      </c>
      <c r="F32" s="13" t="s">
        <v>68</v>
      </c>
      <c r="G32" s="13" t="s">
        <v>69</v>
      </c>
      <c r="H32" s="13" t="s">
        <v>70</v>
      </c>
      <c r="I32" s="13" t="s">
        <v>71</v>
      </c>
      <c r="J32" s="13" t="s">
        <v>72</v>
      </c>
      <c r="K32" s="13" t="s">
        <v>125</v>
      </c>
      <c r="L32" s="13" t="s">
        <v>88</v>
      </c>
    </row>
    <row r="33" customFormat="false" ht="15" hidden="false" customHeight="false" outlineLevel="0" collapsed="false">
      <c r="A33" s="17" t="n">
        <f aca="false">A25</f>
        <v>0.5</v>
      </c>
      <c r="B33" s="17" t="n">
        <f aca="false">IF(ISNUMBER(B25),Reference!B$9-B25,"")</f>
        <v>-16.1033728128229</v>
      </c>
      <c r="C33" s="17" t="n">
        <f aca="false">IF(ISNUMBER(C25),Reference!C$9-C25,"")</f>
        <v>-42.0594392150824</v>
      </c>
      <c r="D33" s="17" t="n">
        <f aca="false">IF(ISNUMBER(D25),Reference!D$9-D25,"")</f>
        <v>-42.3177013905188</v>
      </c>
      <c r="E33" s="17" t="n">
        <f aca="false">IF(ISNUMBER(E25),Reference!E$9-E25,"")</f>
        <v>-50.7078170254371</v>
      </c>
      <c r="F33" s="17" t="n">
        <f aca="false">IF(ISNUMBER(F25),Reference!F$9-F25,"")</f>
        <v>-55.2744145913204</v>
      </c>
      <c r="G33" s="17" t="n">
        <f aca="false">IF(ISNUMBER(G25),Reference!G$9-G25,"")</f>
        <v>-56.4268010184215</v>
      </c>
      <c r="H33" s="17" t="n">
        <f aca="false">IF(ISNUMBER(H25),Reference!H$9-H25,"")</f>
        <v>-53.1837337935095</v>
      </c>
      <c r="I33" s="17" t="n">
        <f aca="false">IF(ISNUMBER(I25),Reference!I$9-I25,"")</f>
        <v>-41.9617035129838</v>
      </c>
      <c r="J33" s="17" t="n">
        <f aca="false">IF(ISNUMBER(J25),Reference!J$9-J25,"")</f>
        <v>19.2531347784111</v>
      </c>
      <c r="K33" s="17" t="n">
        <f aca="false">IF(COUNT(B33:J33)=0,"",MIN(B33:J33))</f>
        <v>-56.4268010184215</v>
      </c>
      <c r="L33" s="8" t="str">
        <f aca="false">IF(COUNT(B33:J33)&lt;9,"",IF(K33&gt;=0,"yes","no"))</f>
        <v>no</v>
      </c>
    </row>
    <row r="34" customFormat="false" ht="15" hidden="false" customHeight="false" outlineLevel="0" collapsed="false">
      <c r="A34" s="17" t="n">
        <f aca="false">A26</f>
        <v>1</v>
      </c>
      <c r="B34" s="17" t="n">
        <f aca="false">IF(ISNUMBER(B26),Reference!B$9-B26,"")</f>
        <v>-10.0667583998999</v>
      </c>
      <c r="C34" s="17" t="n">
        <f aca="false">IF(ISNUMBER(C26),Reference!C$9-C26,"")</f>
        <v>-35.9779946003833</v>
      </c>
      <c r="D34" s="17" t="n">
        <f aca="false">IF(ISNUMBER(D26),Reference!D$9-D26,"")</f>
        <v>-36.0916263425916</v>
      </c>
      <c r="E34" s="17" t="n">
        <f aca="false">IF(ISNUMBER(E26),Reference!E$9-E26,"")</f>
        <v>-44.1655334417122</v>
      </c>
      <c r="F34" s="17" t="n">
        <f aca="false">IF(ISNUMBER(F26),Reference!F$9-F26,"")</f>
        <v>-48.2898836258437</v>
      </c>
      <c r="G34" s="17" t="n">
        <f aca="false">IF(ISNUMBER(G26),Reference!G$9-G26,"")</f>
        <v>-48.5773582438644</v>
      </c>
      <c r="H34" s="17" t="n">
        <f aca="false">IF(ISNUMBER(H26),Reference!H$9-H26,"")</f>
        <v>-42.3311611976137</v>
      </c>
      <c r="I34" s="17" t="n">
        <f aca="false">IF(ISNUMBER(I26),Reference!I$9-I26,"")</f>
        <v>-19.5560387941026</v>
      </c>
      <c r="J34" s="17" t="n">
        <f aca="false">IF(ISNUMBER(J26),Reference!J$9-J26,"")</f>
        <v>83.7147569374913</v>
      </c>
      <c r="K34" s="17" t="n">
        <f aca="false">IF(COUNT(B34:J34)=0,"",MIN(B34:J34))</f>
        <v>-48.5773582438644</v>
      </c>
      <c r="L34" s="8" t="str">
        <f aca="false">IF(COUNT(B34:J34)&lt;9,"",IF(K34&gt;=0,"yes","no"))</f>
        <v>no</v>
      </c>
    </row>
    <row r="35" customFormat="false" ht="15" hidden="false" customHeight="false" outlineLevel="0" collapsed="false">
      <c r="A35" s="17" t="n">
        <f aca="false">A27</f>
        <v>2</v>
      </c>
      <c r="B35" s="17" t="n">
        <f aca="false">IF(ISNUMBER(B27),Reference!B$9-B27,"")</f>
        <v>-4.01412948733351</v>
      </c>
      <c r="C35" s="17" t="n">
        <f aca="false">IF(ISNUMBER(C27),Reference!C$9-C27,"")</f>
        <v>-29.8357052842649</v>
      </c>
      <c r="D35" s="17" t="n">
        <f aca="false">IF(ISNUMBER(D27),Reference!D$9-D27,"")</f>
        <v>-29.6600761600168</v>
      </c>
      <c r="E35" s="17" t="n">
        <f aca="false">IF(ISNUMBER(E27),Reference!E$9-E27,"")</f>
        <v>-37.1015661875422</v>
      </c>
      <c r="F35" s="17" t="n">
        <f aca="false">IF(ISNUMBER(F27),Reference!F$9-F27,"")</f>
        <v>-40.3414216081701</v>
      </c>
      <c r="G35" s="17" t="n">
        <f aca="false">IF(ISNUMBER(G27),Reference!G$9-G27,"")</f>
        <v>-38.8990726080297</v>
      </c>
      <c r="H35" s="17" t="n">
        <f aca="false">IF(ISNUMBER(H27),Reference!H$9-H27,"")</f>
        <v>-26.6466159191017</v>
      </c>
      <c r="I35" s="17" t="n">
        <f aca="false">IF(ISNUMBER(I27),Reference!I$9-I27,"")</f>
        <v>19.2346907303803</v>
      </c>
      <c r="J35" s="17" t="n">
        <f aca="false">IF(ISNUMBER(J27),Reference!J$9-J27,"")</f>
        <v>206.617401342372</v>
      </c>
      <c r="K35" s="17" t="n">
        <f aca="false">IF(COUNT(B35:J35)=0,"",MIN(B35:J35))</f>
        <v>-40.3414216081701</v>
      </c>
      <c r="L35" s="8" t="str">
        <f aca="false">IF(COUNT(B35:J35)&lt;9,"",IF(K35&gt;=0,"yes","no"))</f>
        <v>no</v>
      </c>
    </row>
    <row r="36" customFormat="false" ht="15" hidden="false" customHeight="false" outlineLevel="0" collapsed="false">
      <c r="A36" s="17" t="n">
        <f aca="false">A28</f>
        <v>3</v>
      </c>
      <c r="B36" s="17" t="n">
        <f aca="false">IF(ISNUMBER(B28),Reference!B$9-B28,"")</f>
        <v>-0.460275306933106</v>
      </c>
      <c r="C36" s="17" t="n">
        <f aca="false">IF(ISNUMBER(C28),Reference!C$9-C28,"")</f>
        <v>-26.1921907003124</v>
      </c>
      <c r="D36" s="17" t="n">
        <f aca="false">IF(ISNUMBER(D28),Reference!D$9-D28,"")</f>
        <v>-25.727300709608</v>
      </c>
      <c r="E36" s="17" t="n">
        <f aca="false">IF(ISNUMBER(E28),Reference!E$9-E28,"")</f>
        <v>-32.5363736655381</v>
      </c>
      <c r="F36" s="17" t="n">
        <f aca="false">IF(ISNUMBER(F28),Reference!F$9-F28,"")</f>
        <v>-34.8917343226625</v>
      </c>
      <c r="G36" s="17" t="n">
        <f aca="false">IF(ISNUMBER(G28),Reference!G$9-G28,"")</f>
        <v>-31.7195617043611</v>
      </c>
      <c r="H36" s="17" t="n">
        <f aca="false">IF(ISNUMBER(H28),Reference!H$9-H28,"")</f>
        <v>-13.4608453727556</v>
      </c>
      <c r="I36" s="17" t="n">
        <f aca="false">IF(ISNUMBER(I28),Reference!I$9-I28,"")</f>
        <v>55.5266455226971</v>
      </c>
      <c r="J36" s="17" t="n">
        <f aca="false">IF(ISNUMBER(J28),Reference!J$9-J28,"")</f>
        <v>327.021271015087</v>
      </c>
      <c r="K36" s="17" t="n">
        <f aca="false">IF(COUNT(B36:J36)=0,"",MIN(B36:J36))</f>
        <v>-34.8917343226625</v>
      </c>
      <c r="L36" s="8" t="str">
        <f aca="false">IF(COUNT(B36:J36)&lt;9,"",IF(K36&gt;=0,"yes","no"))</f>
        <v>no</v>
      </c>
    </row>
    <row r="37" customFormat="false" ht="15" hidden="false" customHeight="false" outlineLevel="0" collapsed="false">
      <c r="A37" s="17" t="n">
        <f aca="false">A29</f>
        <v>5</v>
      </c>
      <c r="B37" s="17" t="n">
        <f aca="false">IF(ISNUMBER(B29),Reference!B$9-B29,"")</f>
        <v>4.04075768396756</v>
      </c>
      <c r="C37" s="17" t="n">
        <f aca="false">IF(ISNUMBER(C29),Reference!C$9-C29,"")</f>
        <v>-21.5118369023076</v>
      </c>
      <c r="D37" s="17" t="n">
        <f aca="false">IF(ISNUMBER(D29),Reference!D$9-D29,"")</f>
        <v>-20.4684251786905</v>
      </c>
      <c r="E37" s="17" t="n">
        <f aca="false">IF(ISNUMBER(E29),Reference!E$9-E29,"")</f>
        <v>-26.01266399143</v>
      </c>
      <c r="F37" s="17" t="n">
        <f aca="false">IF(ISNUMBER(F29),Reference!F$9-F29,"")</f>
        <v>-26.5990351215474</v>
      </c>
      <c r="G37" s="17" t="n">
        <f aca="false">IF(ISNUMBER(G29),Reference!G$9-G29,"")</f>
        <v>-19.967215266924</v>
      </c>
      <c r="H37" s="17" t="n">
        <f aca="false">IF(ISNUMBER(H29),Reference!H$9-H29,"")</f>
        <v>10.3040203500363</v>
      </c>
      <c r="I37" s="17" t="n">
        <f aca="false">IF(ISNUMBER(I29),Reference!I$9-I29,"")</f>
        <v>125.503879737431</v>
      </c>
      <c r="J37" s="17" t="n">
        <f aca="false">IF(ISNUMBER(J29),Reference!J$9-J29,"")</f>
        <v>565.222334990616</v>
      </c>
      <c r="K37" s="17" t="n">
        <f aca="false">IF(COUNT(B37:J37)=0,"",MIN(B37:J37))</f>
        <v>-26.5990351215474</v>
      </c>
      <c r="L37" s="8" t="str">
        <f aca="false">IF(COUNT(B37:J37)&lt;9,"",IF(K37&gt;=0,"yes","no"))</f>
        <v>no</v>
      </c>
    </row>
    <row r="38" customFormat="false" ht="15" hidden="false" customHeight="false" outlineLevel="0" collapsed="false">
      <c r="A38" s="17" t="n">
        <f aca="false">A30</f>
        <v>10</v>
      </c>
      <c r="B38" s="17" t="n">
        <f aca="false">IF(ISNUMBER(B30),Reference!B$9-B30,"")</f>
        <v>10.2215025936811</v>
      </c>
      <c r="C38" s="17" t="n">
        <f aca="false">IF(ISNUMBER(C30),Reference!C$9-C30,"")</f>
        <v>-14.8827899748337</v>
      </c>
      <c r="D38" s="17" t="n">
        <f aca="false">IF(ISNUMBER(D30),Reference!D$9-D30,"")</f>
        <v>-12.393073918935</v>
      </c>
      <c r="E38" s="17" t="n">
        <f aca="false">IF(ISNUMBER(E30),Reference!E$9-E30,"")</f>
        <v>-14.775227373698</v>
      </c>
      <c r="F38" s="17" t="n">
        <f aca="false">IF(ISNUMBER(F30),Reference!F$9-F30,"")</f>
        <v>-10.9391246862977</v>
      </c>
      <c r="G38" s="17" t="n">
        <f aca="false">IF(ISNUMBER(G30),Reference!G$9-G30,"")</f>
        <v>4.34181325913068</v>
      </c>
      <c r="H38" s="17" t="n">
        <f aca="false">IF(ISNUMBER(H30),Reference!H$9-H30,"")</f>
        <v>64.644347089478</v>
      </c>
      <c r="I38" s="17" t="n">
        <f aca="false">IF(ISNUMBER(I30),Reference!I$9-I30,"")</f>
        <v>295.375127706727</v>
      </c>
      <c r="J38" s="17" t="n">
        <f aca="false">IF(ISNUMBER(J30),Reference!J$9-J30,"")</f>
        <v>1155.6531573619</v>
      </c>
      <c r="K38" s="17" t="n">
        <f aca="false">IF(COUNT(B38:J38)=0,"",MIN(B38:J38))</f>
        <v>-14.8827899748337</v>
      </c>
      <c r="L38" s="8" t="str">
        <f aca="false">IF(COUNT(B38:J38)&lt;9,"",IF(K38&gt;=0,"yes","no"))</f>
        <v>no</v>
      </c>
    </row>
    <row r="40" customFormat="false" ht="15" hidden="false" customHeight="false" outlineLevel="0" collapsed="false">
      <c r="A40" s="26" t="str">
        <f aca="false">"Class: "&amp;Inputs!A24&amp;"   Character: "&amp;Inputs!A33</f>
        <v>Class: Small PA   Character: Very bass heavy</v>
      </c>
    </row>
    <row r="41" customFormat="false" ht="15" hidden="false" customHeight="false" outlineLevel="0" collapsed="false">
      <c r="A41" s="7" t="s">
        <v>120</v>
      </c>
    </row>
    <row r="42" customFormat="false" ht="23.85" hidden="false" customHeight="false" outlineLevel="0" collapsed="false">
      <c r="A42" s="13" t="s">
        <v>114</v>
      </c>
      <c r="B42" s="13" t="s">
        <v>64</v>
      </c>
      <c r="C42" s="13" t="s">
        <v>65</v>
      </c>
      <c r="D42" s="13" t="s">
        <v>66</v>
      </c>
      <c r="E42" s="13" t="s">
        <v>67</v>
      </c>
      <c r="F42" s="13" t="s">
        <v>68</v>
      </c>
      <c r="G42" s="13" t="s">
        <v>69</v>
      </c>
      <c r="H42" s="13" t="s">
        <v>70</v>
      </c>
      <c r="I42" s="13" t="s">
        <v>71</v>
      </c>
      <c r="J42" s="13" t="s">
        <v>72</v>
      </c>
      <c r="K42" s="13" t="s">
        <v>121</v>
      </c>
      <c r="L42" s="13" t="s">
        <v>122</v>
      </c>
      <c r="M42" s="13" t="s">
        <v>86</v>
      </c>
      <c r="N42" s="13" t="s">
        <v>123</v>
      </c>
    </row>
    <row r="43" customFormat="false" ht="15" hidden="false" customHeight="false" outlineLevel="0" collapsed="false">
      <c r="A43" s="20" t="n">
        <f aca="false">Inputs!$A$15</f>
        <v>0.5</v>
      </c>
      <c r="B43" s="17" t="n">
        <f aca="false">IF(OR(Inputs!$B$24="",Inputs!$C$24=""),"",Inputs!B$33+Inputs!$B$24-Inputs!$K$33-20*LOG10($A43*1000/Inputs!$C$24)-Reference!B$10*($A43*1000-Inputs!$C$24)/1000)</f>
        <v>77.7926132399783</v>
      </c>
      <c r="C43" s="17" t="n">
        <f aca="false">IF(OR(Inputs!$B$24="",Inputs!$C$24=""),"",Inputs!C$33+Inputs!$B$24-Inputs!$K$33-20*LOG10($A43*1000/Inputs!$C$24)-Reference!C$10*($A43*1000-Inputs!$C$24)/1000)</f>
        <v>82.7486796422377</v>
      </c>
      <c r="D43" s="17" t="n">
        <f aca="false">IF(OR(Inputs!$B$24="",Inputs!$C$24=""),"",Inputs!D$33+Inputs!$B$24-Inputs!$K$33-20*LOG10($A43*1000/Inputs!$C$24)-Reference!D$10*($A43*1000-Inputs!$C$24)/1000)</f>
        <v>67.6069418176741</v>
      </c>
      <c r="E43" s="17" t="n">
        <f aca="false">IF(OR(Inputs!$B$24="",Inputs!$C$24=""),"",Inputs!E$33+Inputs!$B$24-Inputs!$K$33-20*LOG10($A43*1000/Inputs!$C$24)-Reference!E$10*($A43*1000-Inputs!$C$24)/1000)</f>
        <v>62.2970574525924</v>
      </c>
      <c r="F43" s="17" t="n">
        <f aca="false">IF(OR(Inputs!$B$24="",Inputs!$C$24=""),"",Inputs!F$33+Inputs!$B$24-Inputs!$K$33-20*LOG10($A43*1000/Inputs!$C$24)-Reference!F$10*($A43*1000-Inputs!$C$24)/1000)</f>
        <v>59.8636550184757</v>
      </c>
      <c r="G43" s="17" t="n">
        <f aca="false">IF(OR(Inputs!$B$24="",Inputs!$C$24=""),"",Inputs!G$33+Inputs!$B$24-Inputs!$K$33-20*LOG10($A43*1000/Inputs!$C$24)-Reference!G$10*($A43*1000-Inputs!$C$24)/1000)</f>
        <v>58.0160414455768</v>
      </c>
      <c r="H43" s="17" t="n">
        <f aca="false">IF(OR(Inputs!$B$24="",Inputs!$C$24=""),"",Inputs!H$33+Inputs!$B$24-Inputs!$K$33-20*LOG10($A43*1000/Inputs!$C$24)-Reference!H$10*($A43*1000-Inputs!$C$24)/1000)</f>
        <v>51.0729742206649</v>
      </c>
      <c r="I43" s="17" t="n">
        <f aca="false">IF(OR(Inputs!$B$24="",Inputs!$C$24=""),"",Inputs!I$33+Inputs!$B$24-Inputs!$K$33-20*LOG10($A43*1000/Inputs!$C$24)-Reference!I$10*($A43*1000-Inputs!$C$24)/1000)</f>
        <v>35.7509439401392</v>
      </c>
      <c r="J43" s="17" t="n">
        <f aca="false">IF(OR(Inputs!$B$24="",Inputs!$C$24=""),"",Inputs!J$33+Inputs!$B$24-Inputs!$K$33-20*LOG10($A43*1000/Inputs!$C$24)-Reference!J$10*($A43*1000-Inputs!$C$24)/1000)</f>
        <v>-7.46389435125575</v>
      </c>
      <c r="K43" s="17" t="n">
        <f aca="false">IF(COUNT(B43:J43)&lt;9,"",10*LOG10(SUMPRODUCT(10^((B43:J43+Reference!$B$7:$J$7)/10))))</f>
        <v>63.2325247471109</v>
      </c>
      <c r="L43" s="17" t="n">
        <f aca="false">IF(COUNT(B43:J43)&lt;9,"",10*LOG10(SUMPRODUCT(10^((B43:J43+Reference!$B$8:$J$8)/10))))</f>
        <v>82.9160135738486</v>
      </c>
      <c r="M43" s="17" t="n">
        <f aca="false">IF(ISNUMBER(K43),Inputs!$B$12-K43,"")</f>
        <v>-28.2325247471109</v>
      </c>
      <c r="N43" s="8" t="str">
        <f aca="false">IF(ISNUMBER(M43),IF(M43&gt;=0,"yes","no"),"")</f>
        <v>no</v>
      </c>
    </row>
    <row r="44" customFormat="false" ht="15" hidden="false" customHeight="false" outlineLevel="0" collapsed="false">
      <c r="A44" s="20" t="n">
        <f aca="false">Inputs!$A$16</f>
        <v>1</v>
      </c>
      <c r="B44" s="17" t="n">
        <f aca="false">IF(OR(Inputs!$B$24="",Inputs!$C$24=""),"",Inputs!B$33+Inputs!$B$24-Inputs!$K$33-20*LOG10($A44*1000/Inputs!$C$24)-Reference!B$10*($A44*1000-Inputs!$C$24)/1000)</f>
        <v>71.7559988270552</v>
      </c>
      <c r="C44" s="17" t="n">
        <f aca="false">IF(OR(Inputs!$B$24="",Inputs!$C$24=""),"",Inputs!C$33+Inputs!$B$24-Inputs!$K$33-20*LOG10($A44*1000/Inputs!$C$24)-Reference!C$10*($A44*1000-Inputs!$C$24)/1000)</f>
        <v>76.6672350275387</v>
      </c>
      <c r="D44" s="17" t="n">
        <f aca="false">IF(OR(Inputs!$B$24="",Inputs!$C$24=""),"",Inputs!D$33+Inputs!$B$24-Inputs!$K$33-20*LOG10($A44*1000/Inputs!$C$24)-Reference!D$10*($A44*1000-Inputs!$C$24)/1000)</f>
        <v>61.3808667697469</v>
      </c>
      <c r="E44" s="17" t="n">
        <f aca="false">IF(OR(Inputs!$B$24="",Inputs!$C$24=""),"",Inputs!E$33+Inputs!$B$24-Inputs!$K$33-20*LOG10($A44*1000/Inputs!$C$24)-Reference!E$10*($A44*1000-Inputs!$C$24)/1000)</f>
        <v>55.7547738688676</v>
      </c>
      <c r="F44" s="17" t="n">
        <f aca="false">IF(OR(Inputs!$B$24="",Inputs!$C$24=""),"",Inputs!F$33+Inputs!$B$24-Inputs!$K$33-20*LOG10($A44*1000/Inputs!$C$24)-Reference!F$10*($A44*1000-Inputs!$C$24)/1000)</f>
        <v>52.8791240529991</v>
      </c>
      <c r="G44" s="17" t="n">
        <f aca="false">IF(OR(Inputs!$B$24="",Inputs!$C$24=""),"",Inputs!G$33+Inputs!$B$24-Inputs!$K$33-20*LOG10($A44*1000/Inputs!$C$24)-Reference!G$10*($A44*1000-Inputs!$C$24)/1000)</f>
        <v>50.1665986710197</v>
      </c>
      <c r="H44" s="17" t="n">
        <f aca="false">IF(OR(Inputs!$B$24="",Inputs!$C$24=""),"",Inputs!H$33+Inputs!$B$24-Inputs!$K$33-20*LOG10($A44*1000/Inputs!$C$24)-Reference!H$10*($A44*1000-Inputs!$C$24)/1000)</f>
        <v>40.2204016247691</v>
      </c>
      <c r="I44" s="17" t="n">
        <f aca="false">IF(OR(Inputs!$B$24="",Inputs!$C$24=""),"",Inputs!I$33+Inputs!$B$24-Inputs!$K$33-20*LOG10($A44*1000/Inputs!$C$24)-Reference!I$10*($A44*1000-Inputs!$C$24)/1000)</f>
        <v>13.3452792212579</v>
      </c>
      <c r="J44" s="17" t="n">
        <f aca="false">IF(OR(Inputs!$B$24="",Inputs!$C$24=""),"",Inputs!J$33+Inputs!$B$24-Inputs!$K$33-20*LOG10($A44*1000/Inputs!$C$24)-Reference!J$10*($A44*1000-Inputs!$C$24)/1000)</f>
        <v>-71.9255165103359</v>
      </c>
      <c r="K44" s="17" t="n">
        <f aca="false">IF(COUNT(B44:J44)&lt;9,"",10*LOG10(SUMPRODUCT(10^((B44:J44+Reference!$B$7:$J$7)/10))))</f>
        <v>56.1218590698867</v>
      </c>
      <c r="L44" s="17" t="n">
        <f aca="false">IF(COUNT(B44:J44)&lt;9,"",10*LOG10(SUMPRODUCT(10^((B44:J44+Reference!$B$8:$J$8)/10))))</f>
        <v>76.8230894180175</v>
      </c>
      <c r="M44" s="17" t="n">
        <f aca="false">IF(ISNUMBER(K44),Inputs!$B$12-K44,"")</f>
        <v>-21.1218590698867</v>
      </c>
      <c r="N44" s="8" t="str">
        <f aca="false">IF(ISNUMBER(M44),IF(M44&gt;=0,"yes","no"),"")</f>
        <v>no</v>
      </c>
    </row>
    <row r="45" customFormat="false" ht="15" hidden="false" customHeight="false" outlineLevel="0" collapsed="false">
      <c r="A45" s="20" t="n">
        <f aca="false">Inputs!$A$17</f>
        <v>2</v>
      </c>
      <c r="B45" s="17" t="n">
        <f aca="false">IF(OR(Inputs!$B$24="",Inputs!$C$24=""),"",Inputs!B$33+Inputs!$B$24-Inputs!$K$33-20*LOG10($A45*1000/Inputs!$C$24)-Reference!B$10*($A45*1000-Inputs!$C$24)/1000)</f>
        <v>65.7033699144889</v>
      </c>
      <c r="C45" s="17" t="n">
        <f aca="false">IF(OR(Inputs!$B$24="",Inputs!$C$24=""),"",Inputs!C$33+Inputs!$B$24-Inputs!$K$33-20*LOG10($A45*1000/Inputs!$C$24)-Reference!C$10*($A45*1000-Inputs!$C$24)/1000)</f>
        <v>70.5249457114202</v>
      </c>
      <c r="D45" s="17" t="n">
        <f aca="false">IF(OR(Inputs!$B$24="",Inputs!$C$24=""),"",Inputs!D$33+Inputs!$B$24-Inputs!$K$33-20*LOG10($A45*1000/Inputs!$C$24)-Reference!D$10*($A45*1000-Inputs!$C$24)/1000)</f>
        <v>54.9493165871721</v>
      </c>
      <c r="E45" s="17" t="n">
        <f aca="false">IF(OR(Inputs!$B$24="",Inputs!$C$24=""),"",Inputs!E$33+Inputs!$B$24-Inputs!$K$33-20*LOG10($A45*1000/Inputs!$C$24)-Reference!E$10*($A45*1000-Inputs!$C$24)/1000)</f>
        <v>48.6908066146975</v>
      </c>
      <c r="F45" s="17" t="n">
        <f aca="false">IF(OR(Inputs!$B$24="",Inputs!$C$24=""),"",Inputs!F$33+Inputs!$B$24-Inputs!$K$33-20*LOG10($A45*1000/Inputs!$C$24)-Reference!F$10*($A45*1000-Inputs!$C$24)/1000)</f>
        <v>44.9306620353255</v>
      </c>
      <c r="G45" s="17" t="n">
        <f aca="false">IF(OR(Inputs!$B$24="",Inputs!$C$24=""),"",Inputs!G$33+Inputs!$B$24-Inputs!$K$33-20*LOG10($A45*1000/Inputs!$C$24)-Reference!G$10*($A45*1000-Inputs!$C$24)/1000)</f>
        <v>40.4883130351851</v>
      </c>
      <c r="H45" s="17" t="n">
        <f aca="false">IF(OR(Inputs!$B$24="",Inputs!$C$24=""),"",Inputs!H$33+Inputs!$B$24-Inputs!$K$33-20*LOG10($A45*1000/Inputs!$C$24)-Reference!H$10*($A45*1000-Inputs!$C$24)/1000)</f>
        <v>24.535856346257</v>
      </c>
      <c r="I45" s="17" t="n">
        <f aca="false">IF(OR(Inputs!$B$24="",Inputs!$C$24=""),"",Inputs!I$33+Inputs!$B$24-Inputs!$K$33-20*LOG10($A45*1000/Inputs!$C$24)-Reference!I$10*($A45*1000-Inputs!$C$24)/1000)</f>
        <v>-25.4454503032249</v>
      </c>
      <c r="J45" s="17" t="n">
        <f aca="false">IF(OR(Inputs!$B$24="",Inputs!$C$24=""),"",Inputs!J$33+Inputs!$B$24-Inputs!$K$33-20*LOG10($A45*1000/Inputs!$C$24)-Reference!J$10*($A45*1000-Inputs!$C$24)/1000)</f>
        <v>-194.828160915217</v>
      </c>
      <c r="K45" s="17" t="n">
        <f aca="false">IF(COUNT(B45:J45)&lt;9,"",10*LOG10(SUMPRODUCT(10^((B45:J45+Reference!$B$7:$J$7)/10))))</f>
        <v>48.5637560089549</v>
      </c>
      <c r="L45" s="17" t="n">
        <f aca="false">IF(COUNT(B45:J45)&lt;9,"",10*LOG10(SUMPRODUCT(10^((B45:J45+Reference!$B$8:$J$8)/10))))</f>
        <v>70.6688044292098</v>
      </c>
      <c r="M45" s="17" t="n">
        <f aca="false">IF(ISNUMBER(K45),Inputs!$B$12-K45,"")</f>
        <v>-13.5637560089549</v>
      </c>
      <c r="N45" s="8" t="str">
        <f aca="false">IF(ISNUMBER(M45),IF(M45&gt;=0,"yes","no"),"")</f>
        <v>no</v>
      </c>
    </row>
    <row r="46" customFormat="false" ht="15" hidden="false" customHeight="false" outlineLevel="0" collapsed="false">
      <c r="A46" s="20" t="n">
        <f aca="false">Inputs!$A$18</f>
        <v>3</v>
      </c>
      <c r="B46" s="17" t="n">
        <f aca="false">IF(OR(Inputs!$B$24="",Inputs!$C$24=""),"",Inputs!B$33+Inputs!$B$24-Inputs!$K$33-20*LOG10($A46*1000/Inputs!$C$24)-Reference!B$10*($A46*1000-Inputs!$C$24)/1000)</f>
        <v>62.1495157340884</v>
      </c>
      <c r="C46" s="17" t="n">
        <f aca="false">IF(OR(Inputs!$B$24="",Inputs!$C$24=""),"",Inputs!C$33+Inputs!$B$24-Inputs!$K$33-20*LOG10($A46*1000/Inputs!$C$24)-Reference!C$10*($A46*1000-Inputs!$C$24)/1000)</f>
        <v>66.8814311274677</v>
      </c>
      <c r="D46" s="17" t="n">
        <f aca="false">IF(OR(Inputs!$B$24="",Inputs!$C$24=""),"",Inputs!D$33+Inputs!$B$24-Inputs!$K$33-20*LOG10($A46*1000/Inputs!$C$24)-Reference!D$10*($A46*1000-Inputs!$C$24)/1000)</f>
        <v>51.0165411367633</v>
      </c>
      <c r="E46" s="17" t="n">
        <f aca="false">IF(OR(Inputs!$B$24="",Inputs!$C$24=""),"",Inputs!E$33+Inputs!$B$24-Inputs!$K$33-20*LOG10($A46*1000/Inputs!$C$24)-Reference!E$10*($A46*1000-Inputs!$C$24)/1000)</f>
        <v>44.1256140926934</v>
      </c>
      <c r="F46" s="17" t="n">
        <f aca="false">IF(OR(Inputs!$B$24="",Inputs!$C$24=""),"",Inputs!F$33+Inputs!$B$24-Inputs!$K$33-20*LOG10($A46*1000/Inputs!$C$24)-Reference!F$10*($A46*1000-Inputs!$C$24)/1000)</f>
        <v>39.4809747498178</v>
      </c>
      <c r="G46" s="17" t="n">
        <f aca="false">IF(OR(Inputs!$B$24="",Inputs!$C$24=""),"",Inputs!G$33+Inputs!$B$24-Inputs!$K$33-20*LOG10($A46*1000/Inputs!$C$24)-Reference!G$10*($A46*1000-Inputs!$C$24)/1000)</f>
        <v>33.3088021315164</v>
      </c>
      <c r="H46" s="17" t="n">
        <f aca="false">IF(OR(Inputs!$B$24="",Inputs!$C$24=""),"",Inputs!H$33+Inputs!$B$24-Inputs!$K$33-20*LOG10($A46*1000/Inputs!$C$24)-Reference!H$10*($A46*1000-Inputs!$C$24)/1000)</f>
        <v>11.350085799911</v>
      </c>
      <c r="I46" s="17" t="n">
        <f aca="false">IF(OR(Inputs!$B$24="",Inputs!$C$24=""),"",Inputs!I$33+Inputs!$B$24-Inputs!$K$33-20*LOG10($A46*1000/Inputs!$C$24)-Reference!I$10*($A46*1000-Inputs!$C$24)/1000)</f>
        <v>-61.7374050955418</v>
      </c>
      <c r="J46" s="17" t="n">
        <f aca="false">IF(OR(Inputs!$B$24="",Inputs!$C$24=""),"",Inputs!J$33+Inputs!$B$24-Inputs!$K$33-20*LOG10($A46*1000/Inputs!$C$24)-Reference!J$10*($A46*1000-Inputs!$C$24)/1000)</f>
        <v>-315.232030587931</v>
      </c>
      <c r="K46" s="17" t="n">
        <f aca="false">IF(COUNT(B46:J46)&lt;9,"",10*LOG10(SUMPRODUCT(10^((B46:J46+Reference!$B$7:$J$7)/10))))</f>
        <v>43.9734618122756</v>
      </c>
      <c r="L46" s="17" t="n">
        <f aca="false">IF(COUNT(B46:J46)&lt;9,"",10*LOG10(SUMPRODUCT(10^((B46:J46+Reference!$B$8:$J$8)/10))))</f>
        <v>67.0209804713721</v>
      </c>
      <c r="M46" s="17" t="n">
        <f aca="false">IF(ISNUMBER(K46),Inputs!$B$12-K46,"")</f>
        <v>-8.97346181227557</v>
      </c>
      <c r="N46" s="8" t="str">
        <f aca="false">IF(ISNUMBER(M46),IF(M46&gt;=0,"yes","no"),"")</f>
        <v>no</v>
      </c>
    </row>
    <row r="47" customFormat="false" ht="15" hidden="false" customHeight="false" outlineLevel="0" collapsed="false">
      <c r="A47" s="20" t="n">
        <f aca="false">Inputs!$A$19</f>
        <v>5</v>
      </c>
      <c r="B47" s="17" t="n">
        <f aca="false">IF(OR(Inputs!$B$24="",Inputs!$C$24=""),"",Inputs!B$33+Inputs!$B$24-Inputs!$K$33-20*LOG10($A47*1000/Inputs!$C$24)-Reference!B$10*($A47*1000-Inputs!$C$24)/1000)</f>
        <v>57.6484827431878</v>
      </c>
      <c r="C47" s="17" t="n">
        <f aca="false">IF(OR(Inputs!$B$24="",Inputs!$C$24=""),"",Inputs!C$33+Inputs!$B$24-Inputs!$K$33-20*LOG10($A47*1000/Inputs!$C$24)-Reference!C$10*($A47*1000-Inputs!$C$24)/1000)</f>
        <v>62.2010773294629</v>
      </c>
      <c r="D47" s="17" t="n">
        <f aca="false">IF(OR(Inputs!$B$24="",Inputs!$C$24=""),"",Inputs!D$33+Inputs!$B$24-Inputs!$K$33-20*LOG10($A47*1000/Inputs!$C$24)-Reference!D$10*($A47*1000-Inputs!$C$24)/1000)</f>
        <v>45.7576656058458</v>
      </c>
      <c r="E47" s="17" t="n">
        <f aca="false">IF(OR(Inputs!$B$24="",Inputs!$C$24=""),"",Inputs!E$33+Inputs!$B$24-Inputs!$K$33-20*LOG10($A47*1000/Inputs!$C$24)-Reference!E$10*($A47*1000-Inputs!$C$24)/1000)</f>
        <v>37.6019044185853</v>
      </c>
      <c r="F47" s="17" t="n">
        <f aca="false">IF(OR(Inputs!$B$24="",Inputs!$C$24=""),"",Inputs!F$33+Inputs!$B$24-Inputs!$K$33-20*LOG10($A47*1000/Inputs!$C$24)-Reference!F$10*($A47*1000-Inputs!$C$24)/1000)</f>
        <v>31.1882755487027</v>
      </c>
      <c r="G47" s="17" t="n">
        <f aca="false">IF(OR(Inputs!$B$24="",Inputs!$C$24=""),"",Inputs!G$33+Inputs!$B$24-Inputs!$K$33-20*LOG10($A47*1000/Inputs!$C$24)-Reference!G$10*($A47*1000-Inputs!$C$24)/1000)</f>
        <v>21.5564556940793</v>
      </c>
      <c r="H47" s="17" t="n">
        <f aca="false">IF(OR(Inputs!$B$24="",Inputs!$C$24=""),"",Inputs!H$33+Inputs!$B$24-Inputs!$K$33-20*LOG10($A47*1000/Inputs!$C$24)-Reference!H$10*($A47*1000-Inputs!$C$24)/1000)</f>
        <v>-12.414779922881</v>
      </c>
      <c r="I47" s="17" t="n">
        <f aca="false">IF(OR(Inputs!$B$24="",Inputs!$C$24=""),"",Inputs!I$33+Inputs!$B$24-Inputs!$K$33-20*LOG10($A47*1000/Inputs!$C$24)-Reference!I$10*($A47*1000-Inputs!$C$24)/1000)</f>
        <v>-131.714639310275</v>
      </c>
      <c r="J47" s="17" t="n">
        <f aca="false">IF(OR(Inputs!$B$24="",Inputs!$C$24=""),"",Inputs!J$33+Inputs!$B$24-Inputs!$K$33-20*LOG10($A47*1000/Inputs!$C$24)-Reference!J$10*($A47*1000-Inputs!$C$24)/1000)</f>
        <v>-553.433094563461</v>
      </c>
      <c r="K47" s="17" t="n">
        <f aca="false">IF(COUNT(B47:J47)&lt;9,"",10*LOG10(SUMPRODUCT(10^((B47:J47+Reference!$B$7:$J$7)/10))))</f>
        <v>38.155898451021</v>
      </c>
      <c r="L47" s="17" t="n">
        <f aca="false">IF(COUNT(B47:J47)&lt;9,"",10*LOG10(SUMPRODUCT(10^((B47:J47+Reference!$B$8:$J$8)/10))))</f>
        <v>62.3440031982128</v>
      </c>
      <c r="M47" s="17" t="n">
        <f aca="false">IF(ISNUMBER(K47),Inputs!$B$12-K47,"")</f>
        <v>-3.155898451021</v>
      </c>
      <c r="N47" s="8" t="str">
        <f aca="false">IF(ISNUMBER(M47),IF(M47&gt;=0,"yes","no"),"")</f>
        <v>no</v>
      </c>
    </row>
    <row r="48" customFormat="false" ht="15" hidden="false" customHeight="false" outlineLevel="0" collapsed="false">
      <c r="A48" s="20" t="n">
        <f aca="false">Inputs!$A$20</f>
        <v>10</v>
      </c>
      <c r="B48" s="17" t="n">
        <f aca="false">IF(OR(Inputs!$B$24="",Inputs!$C$24=""),"",Inputs!B$33+Inputs!$B$24-Inputs!$K$33-20*LOG10($A48*1000/Inputs!$C$24)-Reference!B$10*($A48*1000-Inputs!$C$24)/1000)</f>
        <v>51.4677378334743</v>
      </c>
      <c r="C48" s="17" t="n">
        <f aca="false">IF(OR(Inputs!$B$24="",Inputs!$C$24=""),"",Inputs!C$33+Inputs!$B$24-Inputs!$K$33-20*LOG10($A48*1000/Inputs!$C$24)-Reference!C$10*($A48*1000-Inputs!$C$24)/1000)</f>
        <v>55.5720304019891</v>
      </c>
      <c r="D48" s="17" t="n">
        <f aca="false">IF(OR(Inputs!$B$24="",Inputs!$C$24=""),"",Inputs!D$33+Inputs!$B$24-Inputs!$K$33-20*LOG10($A48*1000/Inputs!$C$24)-Reference!D$10*($A48*1000-Inputs!$C$24)/1000)</f>
        <v>37.6823143460903</v>
      </c>
      <c r="E48" s="17" t="n">
        <f aca="false">IF(OR(Inputs!$B$24="",Inputs!$C$24=""),"",Inputs!E$33+Inputs!$B$24-Inputs!$K$33-20*LOG10($A48*1000/Inputs!$C$24)-Reference!E$10*($A48*1000-Inputs!$C$24)/1000)</f>
        <v>26.3644678008534</v>
      </c>
      <c r="F48" s="17" t="n">
        <f aca="false">IF(OR(Inputs!$B$24="",Inputs!$C$24=""),"",Inputs!F$33+Inputs!$B$24-Inputs!$K$33-20*LOG10($A48*1000/Inputs!$C$24)-Reference!F$10*($A48*1000-Inputs!$C$24)/1000)</f>
        <v>15.5283651134531</v>
      </c>
      <c r="G48" s="17" t="n">
        <f aca="false">IF(OR(Inputs!$B$24="",Inputs!$C$24=""),"",Inputs!G$33+Inputs!$B$24-Inputs!$K$33-20*LOG10($A48*1000/Inputs!$C$24)-Reference!G$10*($A48*1000-Inputs!$C$24)/1000)</f>
        <v>-2.75257283197534</v>
      </c>
      <c r="H48" s="17" t="n">
        <f aca="false">IF(OR(Inputs!$B$24="",Inputs!$C$24=""),"",Inputs!H$33+Inputs!$B$24-Inputs!$K$33-20*LOG10($A48*1000/Inputs!$C$24)-Reference!H$10*($A48*1000-Inputs!$C$24)/1000)</f>
        <v>-66.7551066623227</v>
      </c>
      <c r="I48" s="17" t="n">
        <f aca="false">IF(OR(Inputs!$B$24="",Inputs!$C$24=""),"",Inputs!I$33+Inputs!$B$24-Inputs!$K$33-20*LOG10($A48*1000/Inputs!$C$24)-Reference!I$10*($A48*1000-Inputs!$C$24)/1000)</f>
        <v>-301.585887279571</v>
      </c>
      <c r="J48" s="17" t="n">
        <f aca="false">IF(OR(Inputs!$B$24="",Inputs!$C$24=""),"",Inputs!J$33+Inputs!$B$24-Inputs!$K$33-20*LOG10($A48*1000/Inputs!$C$24)-Reference!J$10*($A48*1000-Inputs!$C$24)/1000)</f>
        <v>-1143.86391693475</v>
      </c>
      <c r="K48" s="17" t="n">
        <f aca="false">IF(COUNT(B48:J48)&lt;9,"",10*LOG10(SUMPRODUCT(10^((B48:J48+Reference!$B$7:$J$7)/10))))</f>
        <v>30.4250317212964</v>
      </c>
      <c r="L48" s="17" t="n">
        <f aca="false">IF(COUNT(B48:J48)&lt;9,"",10*LOG10(SUMPRODUCT(10^((B48:J48+Reference!$B$8:$J$8)/10))))</f>
        <v>55.7564601896358</v>
      </c>
      <c r="M48" s="17" t="n">
        <f aca="false">IF(ISNUMBER(K48),Inputs!$B$12-K48,"")</f>
        <v>4.57496827870358</v>
      </c>
      <c r="N48" s="8" t="str">
        <f aca="false">IF(ISNUMBER(M48),IF(M48&gt;=0,"yes","no"),"")</f>
        <v>yes</v>
      </c>
    </row>
    <row r="49" customFormat="false" ht="15" hidden="false" customHeight="false" outlineLevel="0" collapsed="false">
      <c r="A49" s="7" t="s">
        <v>124</v>
      </c>
    </row>
    <row r="50" customFormat="false" ht="23.85" hidden="false" customHeight="false" outlineLevel="0" collapsed="false">
      <c r="A50" s="13" t="s">
        <v>114</v>
      </c>
      <c r="B50" s="13" t="s">
        <v>64</v>
      </c>
      <c r="C50" s="13" t="s">
        <v>65</v>
      </c>
      <c r="D50" s="13" t="s">
        <v>66</v>
      </c>
      <c r="E50" s="13" t="s">
        <v>67</v>
      </c>
      <c r="F50" s="13" t="s">
        <v>68</v>
      </c>
      <c r="G50" s="13" t="s">
        <v>69</v>
      </c>
      <c r="H50" s="13" t="s">
        <v>70</v>
      </c>
      <c r="I50" s="13" t="s">
        <v>71</v>
      </c>
      <c r="J50" s="13" t="s">
        <v>72</v>
      </c>
      <c r="K50" s="13" t="s">
        <v>125</v>
      </c>
      <c r="L50" s="13" t="s">
        <v>88</v>
      </c>
    </row>
    <row r="51" customFormat="false" ht="15" hidden="false" customHeight="false" outlineLevel="0" collapsed="false">
      <c r="A51" s="17" t="n">
        <f aca="false">A43</f>
        <v>0.5</v>
      </c>
      <c r="B51" s="17" t="n">
        <f aca="false">IF(ISNUMBER(B43),Reference!B$9-B43,"")</f>
        <v>-18.2926132399783</v>
      </c>
      <c r="C51" s="17" t="n">
        <f aca="false">IF(ISNUMBER(C43),Reference!C$9-C43,"")</f>
        <v>-45.2486796422377</v>
      </c>
      <c r="D51" s="17" t="n">
        <f aca="false">IF(ISNUMBER(D43),Reference!D$9-D43,"")</f>
        <v>-45.5069418176741</v>
      </c>
      <c r="E51" s="17" t="n">
        <f aca="false">IF(ISNUMBER(E43),Reference!E$9-E43,"")</f>
        <v>-50.8970574525924</v>
      </c>
      <c r="F51" s="17" t="n">
        <f aca="false">IF(ISNUMBER(F43),Reference!F$9-F43,"")</f>
        <v>-55.4636550184757</v>
      </c>
      <c r="G51" s="17" t="n">
        <f aca="false">IF(ISNUMBER(G43),Reference!G$9-G43,"")</f>
        <v>-55.6160414455768</v>
      </c>
      <c r="H51" s="17" t="n">
        <f aca="false">IF(ISNUMBER(H43),Reference!H$9-H43,"")</f>
        <v>-52.3729742206649</v>
      </c>
      <c r="I51" s="17" t="n">
        <f aca="false">IF(ISNUMBER(I43),Reference!I$9-I43,"")</f>
        <v>-41.1509439401392</v>
      </c>
      <c r="J51" s="17" t="n">
        <f aca="false">IF(ISNUMBER(J43),Reference!J$9-J43,"")</f>
        <v>20.0638943512558</v>
      </c>
      <c r="K51" s="17" t="n">
        <f aca="false">IF(COUNT(B51:J51)=0,"",MIN(B51:J51))</f>
        <v>-55.6160414455768</v>
      </c>
      <c r="L51" s="8" t="str">
        <f aca="false">IF(COUNT(B51:J51)&lt;9,"",IF(K51&gt;=0,"yes","no"))</f>
        <v>no</v>
      </c>
    </row>
    <row r="52" customFormat="false" ht="15" hidden="false" customHeight="false" outlineLevel="0" collapsed="false">
      <c r="A52" s="17" t="n">
        <f aca="false">A44</f>
        <v>1</v>
      </c>
      <c r="B52" s="17" t="n">
        <f aca="false">IF(ISNUMBER(B44),Reference!B$9-B44,"")</f>
        <v>-12.2559988270552</v>
      </c>
      <c r="C52" s="17" t="n">
        <f aca="false">IF(ISNUMBER(C44),Reference!C$9-C44,"")</f>
        <v>-39.1672350275387</v>
      </c>
      <c r="D52" s="17" t="n">
        <f aca="false">IF(ISNUMBER(D44),Reference!D$9-D44,"")</f>
        <v>-39.2808667697469</v>
      </c>
      <c r="E52" s="17" t="n">
        <f aca="false">IF(ISNUMBER(E44),Reference!E$9-E44,"")</f>
        <v>-44.3547738688676</v>
      </c>
      <c r="F52" s="17" t="n">
        <f aca="false">IF(ISNUMBER(F44),Reference!F$9-F44,"")</f>
        <v>-48.4791240529991</v>
      </c>
      <c r="G52" s="17" t="n">
        <f aca="false">IF(ISNUMBER(G44),Reference!G$9-G44,"")</f>
        <v>-47.7665986710197</v>
      </c>
      <c r="H52" s="17" t="n">
        <f aca="false">IF(ISNUMBER(H44),Reference!H$9-H44,"")</f>
        <v>-41.5204016247691</v>
      </c>
      <c r="I52" s="17" t="n">
        <f aca="false">IF(ISNUMBER(I44),Reference!I$9-I44,"")</f>
        <v>-18.7452792212579</v>
      </c>
      <c r="J52" s="17" t="n">
        <f aca="false">IF(ISNUMBER(J44),Reference!J$9-J44,"")</f>
        <v>84.5255165103359</v>
      </c>
      <c r="K52" s="17" t="n">
        <f aca="false">IF(COUNT(B52:J52)=0,"",MIN(B52:J52))</f>
        <v>-48.4791240529991</v>
      </c>
      <c r="L52" s="8" t="str">
        <f aca="false">IF(COUNT(B52:J52)&lt;9,"",IF(K52&gt;=0,"yes","no"))</f>
        <v>no</v>
      </c>
    </row>
    <row r="53" customFormat="false" ht="15" hidden="false" customHeight="false" outlineLevel="0" collapsed="false">
      <c r="A53" s="17" t="n">
        <f aca="false">A45</f>
        <v>2</v>
      </c>
      <c r="B53" s="17" t="n">
        <f aca="false">IF(ISNUMBER(B45),Reference!B$9-B45,"")</f>
        <v>-6.20336991448885</v>
      </c>
      <c r="C53" s="17" t="n">
        <f aca="false">IF(ISNUMBER(C45),Reference!C$9-C45,"")</f>
        <v>-33.0249457114202</v>
      </c>
      <c r="D53" s="17" t="n">
        <f aca="false">IF(ISNUMBER(D45),Reference!D$9-D45,"")</f>
        <v>-32.8493165871721</v>
      </c>
      <c r="E53" s="17" t="n">
        <f aca="false">IF(ISNUMBER(E45),Reference!E$9-E45,"")</f>
        <v>-37.2908066146975</v>
      </c>
      <c r="F53" s="17" t="n">
        <f aca="false">IF(ISNUMBER(F45),Reference!F$9-F45,"")</f>
        <v>-40.5306620353255</v>
      </c>
      <c r="G53" s="17" t="n">
        <f aca="false">IF(ISNUMBER(G45),Reference!G$9-G45,"")</f>
        <v>-38.0883130351851</v>
      </c>
      <c r="H53" s="17" t="n">
        <f aca="false">IF(ISNUMBER(H45),Reference!H$9-H45,"")</f>
        <v>-25.835856346257</v>
      </c>
      <c r="I53" s="17" t="n">
        <f aca="false">IF(ISNUMBER(I45),Reference!I$9-I45,"")</f>
        <v>20.0454503032249</v>
      </c>
      <c r="J53" s="17" t="n">
        <f aca="false">IF(ISNUMBER(J45),Reference!J$9-J45,"")</f>
        <v>207.428160915217</v>
      </c>
      <c r="K53" s="17" t="n">
        <f aca="false">IF(COUNT(B53:J53)=0,"",MIN(B53:J53))</f>
        <v>-40.5306620353255</v>
      </c>
      <c r="L53" s="8" t="str">
        <f aca="false">IF(COUNT(B53:J53)&lt;9,"",IF(K53&gt;=0,"yes","no"))</f>
        <v>no</v>
      </c>
    </row>
    <row r="54" customFormat="false" ht="15" hidden="false" customHeight="false" outlineLevel="0" collapsed="false">
      <c r="A54" s="17" t="n">
        <f aca="false">A46</f>
        <v>3</v>
      </c>
      <c r="B54" s="17" t="n">
        <f aca="false">IF(ISNUMBER(B46),Reference!B$9-B46,"")</f>
        <v>-2.64951573408845</v>
      </c>
      <c r="C54" s="17" t="n">
        <f aca="false">IF(ISNUMBER(C46),Reference!C$9-C46,"")</f>
        <v>-29.3814311274677</v>
      </c>
      <c r="D54" s="17" t="n">
        <f aca="false">IF(ISNUMBER(D46),Reference!D$9-D46,"")</f>
        <v>-28.9165411367633</v>
      </c>
      <c r="E54" s="17" t="n">
        <f aca="false">IF(ISNUMBER(E46),Reference!E$9-E46,"")</f>
        <v>-32.7256140926934</v>
      </c>
      <c r="F54" s="17" t="n">
        <f aca="false">IF(ISNUMBER(F46),Reference!F$9-F46,"")</f>
        <v>-35.0809747498178</v>
      </c>
      <c r="G54" s="17" t="n">
        <f aca="false">IF(ISNUMBER(G46),Reference!G$9-G46,"")</f>
        <v>-30.9088021315164</v>
      </c>
      <c r="H54" s="17" t="n">
        <f aca="false">IF(ISNUMBER(H46),Reference!H$9-H46,"")</f>
        <v>-12.650085799911</v>
      </c>
      <c r="I54" s="17" t="n">
        <f aca="false">IF(ISNUMBER(I46),Reference!I$9-I46,"")</f>
        <v>56.3374050955418</v>
      </c>
      <c r="J54" s="17" t="n">
        <f aca="false">IF(ISNUMBER(J46),Reference!J$9-J46,"")</f>
        <v>327.832030587931</v>
      </c>
      <c r="K54" s="17" t="n">
        <f aca="false">IF(COUNT(B54:J54)=0,"",MIN(B54:J54))</f>
        <v>-35.0809747498178</v>
      </c>
      <c r="L54" s="8" t="str">
        <f aca="false">IF(COUNT(B54:J54)&lt;9,"",IF(K54&gt;=0,"yes","no"))</f>
        <v>no</v>
      </c>
    </row>
    <row r="55" customFormat="false" ht="15" hidden="false" customHeight="false" outlineLevel="0" collapsed="false">
      <c r="A55" s="17" t="n">
        <f aca="false">A47</f>
        <v>5</v>
      </c>
      <c r="B55" s="17" t="n">
        <f aca="false">IF(ISNUMBER(B47),Reference!B$9-B47,"")</f>
        <v>1.85151725681222</v>
      </c>
      <c r="C55" s="17" t="n">
        <f aca="false">IF(ISNUMBER(C47),Reference!C$9-C47,"")</f>
        <v>-24.7010773294629</v>
      </c>
      <c r="D55" s="17" t="n">
        <f aca="false">IF(ISNUMBER(D47),Reference!D$9-D47,"")</f>
        <v>-23.6576656058458</v>
      </c>
      <c r="E55" s="17" t="n">
        <f aca="false">IF(ISNUMBER(E47),Reference!E$9-E47,"")</f>
        <v>-26.2019044185853</v>
      </c>
      <c r="F55" s="17" t="n">
        <f aca="false">IF(ISNUMBER(F47),Reference!F$9-F47,"")</f>
        <v>-26.7882755487027</v>
      </c>
      <c r="G55" s="17" t="n">
        <f aca="false">IF(ISNUMBER(G47),Reference!G$9-G47,"")</f>
        <v>-19.1564556940793</v>
      </c>
      <c r="H55" s="17" t="n">
        <f aca="false">IF(ISNUMBER(H47),Reference!H$9-H47,"")</f>
        <v>11.114779922881</v>
      </c>
      <c r="I55" s="17" t="n">
        <f aca="false">IF(ISNUMBER(I47),Reference!I$9-I47,"")</f>
        <v>126.314639310275</v>
      </c>
      <c r="J55" s="17" t="n">
        <f aca="false">IF(ISNUMBER(J47),Reference!J$9-J47,"")</f>
        <v>566.033094563461</v>
      </c>
      <c r="K55" s="17" t="n">
        <f aca="false">IF(COUNT(B55:J55)=0,"",MIN(B55:J55))</f>
        <v>-26.7882755487027</v>
      </c>
      <c r="L55" s="8" t="str">
        <f aca="false">IF(COUNT(B55:J55)&lt;9,"",IF(K55&gt;=0,"yes","no"))</f>
        <v>no</v>
      </c>
    </row>
    <row r="56" customFormat="false" ht="15" hidden="false" customHeight="false" outlineLevel="0" collapsed="false">
      <c r="A56" s="17" t="n">
        <f aca="false">A48</f>
        <v>10</v>
      </c>
      <c r="B56" s="17" t="n">
        <f aca="false">IF(ISNUMBER(B48),Reference!B$9-B48,"")</f>
        <v>8.03226216652571</v>
      </c>
      <c r="C56" s="17" t="n">
        <f aca="false">IF(ISNUMBER(C48),Reference!C$9-C48,"")</f>
        <v>-18.0720304019891</v>
      </c>
      <c r="D56" s="17" t="n">
        <f aca="false">IF(ISNUMBER(D48),Reference!D$9-D48,"")</f>
        <v>-15.5823143460903</v>
      </c>
      <c r="E56" s="17" t="n">
        <f aca="false">IF(ISNUMBER(E48),Reference!E$9-E48,"")</f>
        <v>-14.9644678008534</v>
      </c>
      <c r="F56" s="17" t="n">
        <f aca="false">IF(ISNUMBER(F48),Reference!F$9-F48,"")</f>
        <v>-11.1283651134531</v>
      </c>
      <c r="G56" s="17" t="n">
        <f aca="false">IF(ISNUMBER(G48),Reference!G$9-G48,"")</f>
        <v>5.15257283197534</v>
      </c>
      <c r="H56" s="17" t="n">
        <f aca="false">IF(ISNUMBER(H48),Reference!H$9-H48,"")</f>
        <v>65.4551066623227</v>
      </c>
      <c r="I56" s="17" t="n">
        <f aca="false">IF(ISNUMBER(I48),Reference!I$9-I48,"")</f>
        <v>296.185887279571</v>
      </c>
      <c r="J56" s="17" t="n">
        <f aca="false">IF(ISNUMBER(J48),Reference!J$9-J48,"")</f>
        <v>1156.46391693475</v>
      </c>
      <c r="K56" s="17" t="n">
        <f aca="false">IF(COUNT(B56:J56)=0,"",MIN(B56:J56))</f>
        <v>-18.0720304019891</v>
      </c>
      <c r="L56" s="8" t="str">
        <f aca="false">IF(COUNT(B56:J56)&lt;9,"",IF(K56&gt;=0,"yes","no"))</f>
        <v>no</v>
      </c>
    </row>
    <row r="58" customFormat="false" ht="15" hidden="false" customHeight="false" outlineLevel="0" collapsed="false">
      <c r="A58" s="26" t="str">
        <f aca="false">"Class: "&amp;Inputs!A25&amp;"   Character: "&amp;Inputs!A31</f>
        <v>Class: Medium (2-4 subs)   Character: Balanced</v>
      </c>
    </row>
    <row r="59" customFormat="false" ht="15" hidden="false" customHeight="false" outlineLevel="0" collapsed="false">
      <c r="A59" s="7" t="s">
        <v>120</v>
      </c>
    </row>
    <row r="60" customFormat="false" ht="23.85" hidden="false" customHeight="false" outlineLevel="0" collapsed="false">
      <c r="A60" s="13" t="s">
        <v>114</v>
      </c>
      <c r="B60" s="13" t="s">
        <v>64</v>
      </c>
      <c r="C60" s="13" t="s">
        <v>65</v>
      </c>
      <c r="D60" s="13" t="s">
        <v>66</v>
      </c>
      <c r="E60" s="13" t="s">
        <v>67</v>
      </c>
      <c r="F60" s="13" t="s">
        <v>68</v>
      </c>
      <c r="G60" s="13" t="s">
        <v>69</v>
      </c>
      <c r="H60" s="13" t="s">
        <v>70</v>
      </c>
      <c r="I60" s="13" t="s">
        <v>71</v>
      </c>
      <c r="J60" s="13" t="s">
        <v>72</v>
      </c>
      <c r="K60" s="13" t="s">
        <v>121</v>
      </c>
      <c r="L60" s="13" t="s">
        <v>122</v>
      </c>
      <c r="M60" s="13" t="s">
        <v>86</v>
      </c>
      <c r="N60" s="13" t="s">
        <v>123</v>
      </c>
    </row>
    <row r="61" customFormat="false" ht="15" hidden="false" customHeight="false" outlineLevel="0" collapsed="false">
      <c r="A61" s="20" t="n">
        <f aca="false">Inputs!$A$15</f>
        <v>0.5</v>
      </c>
      <c r="B61" s="17" t="n">
        <f aca="false">IF(OR(Inputs!$B$25="",Inputs!$C$25=""),"",Inputs!B$31+Inputs!$B$25-Inputs!$K$31-20*LOG10($A61*1000/Inputs!$C$25)-Reference!B$10*($A61*1000-Inputs!$C$25)/1000)</f>
        <v>72.0259071070441</v>
      </c>
      <c r="C61" s="17" t="n">
        <f aca="false">IF(OR(Inputs!$B$25="",Inputs!$C$25=""),"",Inputs!C$31+Inputs!$B$25-Inputs!$K$31-20*LOG10($A61*1000/Inputs!$C$25)-Reference!C$10*($A61*1000-Inputs!$C$25)/1000)</f>
        <v>81.9828701133391</v>
      </c>
      <c r="D61" s="17" t="n">
        <f aca="false">IF(OR(Inputs!$B$25="",Inputs!$C$25=""),"",Inputs!D$31+Inputs!$B$25-Inputs!$K$31-20*LOG10($A61*1000/Inputs!$C$25)-Reference!D$10*($A61*1000-Inputs!$C$25)/1000)</f>
        <v>72.8440248974401</v>
      </c>
      <c r="E61" s="17" t="n">
        <f aca="false">IF(OR(Inputs!$B$25="",Inputs!$C$25=""),"",Inputs!E$31+Inputs!$B$25-Inputs!$K$31-20*LOG10($A61*1000/Inputs!$C$25)-Reference!E$10*($A61*1000-Inputs!$C$25)/1000)</f>
        <v>69.5404647030744</v>
      </c>
      <c r="F61" s="17" t="n">
        <f aca="false">IF(OR(Inputs!$B$25="",Inputs!$C$25=""),"",Inputs!F$31+Inputs!$B$25-Inputs!$K$31-20*LOG10($A61*1000/Inputs!$C$25)-Reference!F$10*($A61*1000-Inputs!$C$25)/1000)</f>
        <v>69.1159072165927</v>
      </c>
      <c r="G61" s="17" t="n">
        <f aca="false">IF(OR(Inputs!$B$25="",Inputs!$C$25=""),"",Inputs!G$31+Inputs!$B$25-Inputs!$K$31-20*LOG10($A61*1000/Inputs!$C$25)-Reference!G$10*($A61*1000-Inputs!$C$25)/1000)</f>
        <v>63.2855918798754</v>
      </c>
      <c r="H61" s="17" t="n">
        <f aca="false">IF(OR(Inputs!$B$25="",Inputs!$C$25=""),"",Inputs!H$31+Inputs!$B$25-Inputs!$K$31-20*LOG10($A61*1000/Inputs!$C$25)-Reference!H$10*($A61*1000-Inputs!$C$25)/1000)</f>
        <v>56.4025872513902</v>
      </c>
      <c r="I61" s="17" t="n">
        <f aca="false">IF(OR(Inputs!$B$25="",Inputs!$C$25=""),"",Inputs!I$31+Inputs!$B$25-Inputs!$K$31-20*LOG10($A61*1000/Inputs!$C$25)-Reference!I$10*($A61*1000-Inputs!$C$25)/1000)</f>
        <v>41.3116188133242</v>
      </c>
      <c r="J61" s="17" t="n">
        <f aca="false">IF(OR(Inputs!$B$25="",Inputs!$C$25=""),"",Inputs!J$31+Inputs!$B$25-Inputs!$K$31-20*LOG10($A61*1000/Inputs!$C$25)-Reference!J$10*($A61*1000-Inputs!$C$25)/1000)</f>
        <v>-5.06210032926673</v>
      </c>
      <c r="K61" s="17" t="n">
        <f aca="false">IF(COUNT(B61:J61)&lt;9,"",10*LOG10(SUMPRODUCT(10^((B61:J61+Reference!$B$7:$J$7)/10))))</f>
        <v>69.4067725672397</v>
      </c>
      <c r="L61" s="17" t="n">
        <f aca="false">IF(COUNT(B61:J61)&lt;9,"",10*LOG10(SUMPRODUCT(10^((B61:J61+Reference!$B$8:$J$8)/10))))</f>
        <v>82.4893715671634</v>
      </c>
      <c r="M61" s="17" t="n">
        <f aca="false">IF(ISNUMBER(K61),Inputs!$B$12-K61,"")</f>
        <v>-34.4067725672397</v>
      </c>
      <c r="N61" s="8" t="str">
        <f aca="false">IF(ISNUMBER(M61),IF(M61&gt;=0,"yes","no"),"")</f>
        <v>no</v>
      </c>
    </row>
    <row r="62" customFormat="false" ht="15" hidden="false" customHeight="false" outlineLevel="0" collapsed="false">
      <c r="A62" s="20" t="n">
        <f aca="false">Inputs!$A$16</f>
        <v>1</v>
      </c>
      <c r="B62" s="17" t="n">
        <f aca="false">IF(OR(Inputs!$B$25="",Inputs!$C$25=""),"",Inputs!B$31+Inputs!$B$25-Inputs!$K$31-20*LOG10($A62*1000/Inputs!$C$25)-Reference!B$10*($A62*1000-Inputs!$C$25)/1000)</f>
        <v>65.9892926941211</v>
      </c>
      <c r="C62" s="17" t="n">
        <f aca="false">IF(OR(Inputs!$B$25="",Inputs!$C$25=""),"",Inputs!C$31+Inputs!$B$25-Inputs!$K$31-20*LOG10($A62*1000/Inputs!$C$25)-Reference!C$10*($A62*1000-Inputs!$C$25)/1000)</f>
        <v>75.9014254986401</v>
      </c>
      <c r="D62" s="17" t="n">
        <f aca="false">IF(OR(Inputs!$B$25="",Inputs!$C$25=""),"",Inputs!D$31+Inputs!$B$25-Inputs!$K$31-20*LOG10($A62*1000/Inputs!$C$25)-Reference!D$10*($A62*1000-Inputs!$C$25)/1000)</f>
        <v>66.6179498495129</v>
      </c>
      <c r="E62" s="17" t="n">
        <f aca="false">IF(OR(Inputs!$B$25="",Inputs!$C$25=""),"",Inputs!E$31+Inputs!$B$25-Inputs!$K$31-20*LOG10($A62*1000/Inputs!$C$25)-Reference!E$10*($A62*1000-Inputs!$C$25)/1000)</f>
        <v>62.9981811193495</v>
      </c>
      <c r="F62" s="17" t="n">
        <f aca="false">IF(OR(Inputs!$B$25="",Inputs!$C$25=""),"",Inputs!F$31+Inputs!$B$25-Inputs!$K$31-20*LOG10($A62*1000/Inputs!$C$25)-Reference!F$10*($A62*1000-Inputs!$C$25)/1000)</f>
        <v>62.131376251116</v>
      </c>
      <c r="G62" s="17" t="n">
        <f aca="false">IF(OR(Inputs!$B$25="",Inputs!$C$25=""),"",Inputs!G$31+Inputs!$B$25-Inputs!$K$31-20*LOG10($A62*1000/Inputs!$C$25)-Reference!G$10*($A62*1000-Inputs!$C$25)/1000)</f>
        <v>55.4361491053183</v>
      </c>
      <c r="H62" s="17" t="n">
        <f aca="false">IF(OR(Inputs!$B$25="",Inputs!$C$25=""),"",Inputs!H$31+Inputs!$B$25-Inputs!$K$31-20*LOG10($A62*1000/Inputs!$C$25)-Reference!H$10*($A62*1000-Inputs!$C$25)/1000)</f>
        <v>45.5500146554944</v>
      </c>
      <c r="I62" s="17" t="n">
        <f aca="false">IF(OR(Inputs!$B$25="",Inputs!$C$25=""),"",Inputs!I$31+Inputs!$B$25-Inputs!$K$31-20*LOG10($A62*1000/Inputs!$C$25)-Reference!I$10*($A62*1000-Inputs!$C$25)/1000)</f>
        <v>18.905954094443</v>
      </c>
      <c r="J62" s="17" t="n">
        <f aca="false">IF(OR(Inputs!$B$25="",Inputs!$C$25=""),"",Inputs!J$31+Inputs!$B$25-Inputs!$K$31-20*LOG10($A62*1000/Inputs!$C$25)-Reference!J$10*($A62*1000-Inputs!$C$25)/1000)</f>
        <v>-69.5237224883469</v>
      </c>
      <c r="K62" s="17" t="n">
        <f aca="false">IF(COUNT(B62:J62)&lt;9,"",10*LOG10(SUMPRODUCT(10^((B62:J62+Reference!$B$7:$J$7)/10))))</f>
        <v>62.2029375084682</v>
      </c>
      <c r="L62" s="17" t="n">
        <f aca="false">IF(COUNT(B62:J62)&lt;9,"",10*LOG10(SUMPRODUCT(10^((B62:J62+Reference!$B$8:$J$8)/10))))</f>
        <v>76.3099247990719</v>
      </c>
      <c r="M62" s="17" t="n">
        <f aca="false">IF(ISNUMBER(K62),Inputs!$B$12-K62,"")</f>
        <v>-27.2029375084682</v>
      </c>
      <c r="N62" s="8" t="str">
        <f aca="false">IF(ISNUMBER(M62),IF(M62&gt;=0,"yes","no"),"")</f>
        <v>no</v>
      </c>
    </row>
    <row r="63" customFormat="false" ht="15" hidden="false" customHeight="false" outlineLevel="0" collapsed="false">
      <c r="A63" s="20" t="n">
        <f aca="false">Inputs!$A$17</f>
        <v>2</v>
      </c>
      <c r="B63" s="17" t="n">
        <f aca="false">IF(OR(Inputs!$B$25="",Inputs!$C$25=""),"",Inputs!B$31+Inputs!$B$25-Inputs!$K$31-20*LOG10($A63*1000/Inputs!$C$25)-Reference!B$10*($A63*1000-Inputs!$C$25)/1000)</f>
        <v>59.9366637815547</v>
      </c>
      <c r="C63" s="17" t="n">
        <f aca="false">IF(OR(Inputs!$B$25="",Inputs!$C$25=""),"",Inputs!C$31+Inputs!$B$25-Inputs!$K$31-20*LOG10($A63*1000/Inputs!$C$25)-Reference!C$10*($A63*1000-Inputs!$C$25)/1000)</f>
        <v>69.7591361825216</v>
      </c>
      <c r="D63" s="17" t="n">
        <f aca="false">IF(OR(Inputs!$B$25="",Inputs!$C$25=""),"",Inputs!D$31+Inputs!$B$25-Inputs!$K$31-20*LOG10($A63*1000/Inputs!$C$25)-Reference!D$10*($A63*1000-Inputs!$C$25)/1000)</f>
        <v>60.1863996669381</v>
      </c>
      <c r="E63" s="17" t="n">
        <f aca="false">IF(OR(Inputs!$B$25="",Inputs!$C$25=""),"",Inputs!E$31+Inputs!$B$25-Inputs!$K$31-20*LOG10($A63*1000/Inputs!$C$25)-Reference!E$10*($A63*1000-Inputs!$C$25)/1000)</f>
        <v>55.9342138651794</v>
      </c>
      <c r="F63" s="17" t="n">
        <f aca="false">IF(OR(Inputs!$B$25="",Inputs!$C$25=""),"",Inputs!F$31+Inputs!$B$25-Inputs!$K$31-20*LOG10($A63*1000/Inputs!$C$25)-Reference!F$10*($A63*1000-Inputs!$C$25)/1000)</f>
        <v>54.1829142334424</v>
      </c>
      <c r="G63" s="17" t="n">
        <f aca="false">IF(OR(Inputs!$B$25="",Inputs!$C$25=""),"",Inputs!G$31+Inputs!$B$25-Inputs!$K$31-20*LOG10($A63*1000/Inputs!$C$25)-Reference!G$10*($A63*1000-Inputs!$C$25)/1000)</f>
        <v>45.7578634694836</v>
      </c>
      <c r="H63" s="17" t="n">
        <f aca="false">IF(OR(Inputs!$B$25="",Inputs!$C$25=""),"",Inputs!H$31+Inputs!$B$25-Inputs!$K$31-20*LOG10($A63*1000/Inputs!$C$25)-Reference!H$10*($A63*1000-Inputs!$C$25)/1000)</f>
        <v>29.8654693769824</v>
      </c>
      <c r="I63" s="17" t="n">
        <f aca="false">IF(OR(Inputs!$B$25="",Inputs!$C$25=""),"",Inputs!I$31+Inputs!$B$25-Inputs!$K$31-20*LOG10($A63*1000/Inputs!$C$25)-Reference!I$10*($A63*1000-Inputs!$C$25)/1000)</f>
        <v>-19.8847754300399</v>
      </c>
      <c r="J63" s="17" t="n">
        <f aca="false">IF(OR(Inputs!$B$25="",Inputs!$C$25=""),"",Inputs!J$31+Inputs!$B$25-Inputs!$K$31-20*LOG10($A63*1000/Inputs!$C$25)-Reference!J$10*($A63*1000-Inputs!$C$25)/1000)</f>
        <v>-192.426366893228</v>
      </c>
      <c r="K63" s="17" t="n">
        <f aca="false">IF(COUNT(B63:J63)&lt;9,"",10*LOG10(SUMPRODUCT(10^((B63:J63+Reference!$B$7:$J$7)/10))))</f>
        <v>54.2632733877603</v>
      </c>
      <c r="L63" s="17" t="n">
        <f aca="false">IF(COUNT(B63:J63)&lt;9,"",10*LOG10(SUMPRODUCT(10^((B63:J63+Reference!$B$8:$J$8)/10))))</f>
        <v>70.0226937060871</v>
      </c>
      <c r="M63" s="17" t="n">
        <f aca="false">IF(ISNUMBER(K63),Inputs!$B$12-K63,"")</f>
        <v>-19.2632733877603</v>
      </c>
      <c r="N63" s="8" t="str">
        <f aca="false">IF(ISNUMBER(M63),IF(M63&gt;=0,"yes","no"),"")</f>
        <v>no</v>
      </c>
    </row>
    <row r="64" customFormat="false" ht="15" hidden="false" customHeight="false" outlineLevel="0" collapsed="false">
      <c r="A64" s="20" t="n">
        <f aca="false">Inputs!$A$18</f>
        <v>3</v>
      </c>
      <c r="B64" s="17" t="n">
        <f aca="false">IF(OR(Inputs!$B$25="",Inputs!$C$25=""),"",Inputs!B$31+Inputs!$B$25-Inputs!$K$31-20*LOG10($A64*1000/Inputs!$C$25)-Reference!B$10*($A64*1000-Inputs!$C$25)/1000)</f>
        <v>56.3828096011543</v>
      </c>
      <c r="C64" s="17" t="n">
        <f aca="false">IF(OR(Inputs!$B$25="",Inputs!$C$25=""),"",Inputs!C$31+Inputs!$B$25-Inputs!$K$31-20*LOG10($A64*1000/Inputs!$C$25)-Reference!C$10*($A64*1000-Inputs!$C$25)/1000)</f>
        <v>66.1156215985691</v>
      </c>
      <c r="D64" s="17" t="n">
        <f aca="false">IF(OR(Inputs!$B$25="",Inputs!$C$25=""),"",Inputs!D$31+Inputs!$B$25-Inputs!$K$31-20*LOG10($A64*1000/Inputs!$C$25)-Reference!D$10*($A64*1000-Inputs!$C$25)/1000)</f>
        <v>56.2536242165293</v>
      </c>
      <c r="E64" s="17" t="n">
        <f aca="false">IF(OR(Inputs!$B$25="",Inputs!$C$25=""),"",Inputs!E$31+Inputs!$B$25-Inputs!$K$31-20*LOG10($A64*1000/Inputs!$C$25)-Reference!E$10*($A64*1000-Inputs!$C$25)/1000)</f>
        <v>51.3690213431753</v>
      </c>
      <c r="F64" s="17" t="n">
        <f aca="false">IF(OR(Inputs!$B$25="",Inputs!$C$25=""),"",Inputs!F$31+Inputs!$B$25-Inputs!$K$31-20*LOG10($A64*1000/Inputs!$C$25)-Reference!F$10*($A64*1000-Inputs!$C$25)/1000)</f>
        <v>48.7332269479348</v>
      </c>
      <c r="G64" s="17" t="n">
        <f aca="false">IF(OR(Inputs!$B$25="",Inputs!$C$25=""),"",Inputs!G$31+Inputs!$B$25-Inputs!$K$31-20*LOG10($A64*1000/Inputs!$C$25)-Reference!G$10*($A64*1000-Inputs!$C$25)/1000)</f>
        <v>38.578352565815</v>
      </c>
      <c r="H64" s="17" t="n">
        <f aca="false">IF(OR(Inputs!$B$25="",Inputs!$C$25=""),"",Inputs!H$31+Inputs!$B$25-Inputs!$K$31-20*LOG10($A64*1000/Inputs!$C$25)-Reference!H$10*($A64*1000-Inputs!$C$25)/1000)</f>
        <v>16.6796988306363</v>
      </c>
      <c r="I64" s="17" t="n">
        <f aca="false">IF(OR(Inputs!$B$25="",Inputs!$C$25=""),"",Inputs!I$31+Inputs!$B$25-Inputs!$K$31-20*LOG10($A64*1000/Inputs!$C$25)-Reference!I$10*($A64*1000-Inputs!$C$25)/1000)</f>
        <v>-56.1767302223567</v>
      </c>
      <c r="J64" s="17" t="n">
        <f aca="false">IF(OR(Inputs!$B$25="",Inputs!$C$25=""),"",Inputs!J$31+Inputs!$B$25-Inputs!$K$31-20*LOG10($A64*1000/Inputs!$C$25)-Reference!J$10*($A64*1000-Inputs!$C$25)/1000)</f>
        <v>-312.830236565942</v>
      </c>
      <c r="K64" s="17" t="n">
        <f aca="false">IF(COUNT(B64:J64)&lt;9,"",10*LOG10(SUMPRODUCT(10^((B64:J64+Reference!$B$7:$J$7)/10))))</f>
        <v>49.1466199284605</v>
      </c>
      <c r="L64" s="17" t="n">
        <f aca="false">IF(COUNT(B64:J64)&lt;9,"",10*LOG10(SUMPRODUCT(10^((B64:J64+Reference!$B$8:$J$8)/10))))</f>
        <v>66.2743011021362</v>
      </c>
      <c r="M64" s="17" t="n">
        <f aca="false">IF(ISNUMBER(K64),Inputs!$B$12-K64,"")</f>
        <v>-14.1466199284605</v>
      </c>
      <c r="N64" s="8" t="str">
        <f aca="false">IF(ISNUMBER(M64),IF(M64&gt;=0,"yes","no"),"")</f>
        <v>no</v>
      </c>
    </row>
    <row r="65" customFormat="false" ht="15" hidden="false" customHeight="false" outlineLevel="0" collapsed="false">
      <c r="A65" s="20" t="n">
        <f aca="false">Inputs!$A$19</f>
        <v>5</v>
      </c>
      <c r="B65" s="17" t="n">
        <f aca="false">IF(OR(Inputs!$B$25="",Inputs!$C$25=""),"",Inputs!B$31+Inputs!$B$25-Inputs!$K$31-20*LOG10($A65*1000/Inputs!$C$25)-Reference!B$10*($A65*1000-Inputs!$C$25)/1000)</f>
        <v>51.8817766102537</v>
      </c>
      <c r="C65" s="17" t="n">
        <f aca="false">IF(OR(Inputs!$B$25="",Inputs!$C$25=""),"",Inputs!C$31+Inputs!$B$25-Inputs!$K$31-20*LOG10($A65*1000/Inputs!$C$25)-Reference!C$10*($A65*1000-Inputs!$C$25)/1000)</f>
        <v>61.4352678005643</v>
      </c>
      <c r="D65" s="17" t="n">
        <f aca="false">IF(OR(Inputs!$B$25="",Inputs!$C$25=""),"",Inputs!D$31+Inputs!$B$25-Inputs!$K$31-20*LOG10($A65*1000/Inputs!$C$25)-Reference!D$10*($A65*1000-Inputs!$C$25)/1000)</f>
        <v>50.9947486856118</v>
      </c>
      <c r="E65" s="17" t="n">
        <f aca="false">IF(OR(Inputs!$B$25="",Inputs!$C$25=""),"",Inputs!E$31+Inputs!$B$25-Inputs!$K$31-20*LOG10($A65*1000/Inputs!$C$25)-Reference!E$10*($A65*1000-Inputs!$C$25)/1000)</f>
        <v>44.8453116690673</v>
      </c>
      <c r="F65" s="17" t="n">
        <f aca="false">IF(OR(Inputs!$B$25="",Inputs!$C$25=""),"",Inputs!F$31+Inputs!$B$25-Inputs!$K$31-20*LOG10($A65*1000/Inputs!$C$25)-Reference!F$10*($A65*1000-Inputs!$C$25)/1000)</f>
        <v>40.4405277468197</v>
      </c>
      <c r="G65" s="17" t="n">
        <f aca="false">IF(OR(Inputs!$B$25="",Inputs!$C$25=""),"",Inputs!G$31+Inputs!$B$25-Inputs!$K$31-20*LOG10($A65*1000/Inputs!$C$25)-Reference!G$10*($A65*1000-Inputs!$C$25)/1000)</f>
        <v>26.8260061283779</v>
      </c>
      <c r="H65" s="17" t="n">
        <f aca="false">IF(OR(Inputs!$B$25="",Inputs!$C$25=""),"",Inputs!H$31+Inputs!$B$25-Inputs!$K$31-20*LOG10($A65*1000/Inputs!$C$25)-Reference!H$10*($A65*1000-Inputs!$C$25)/1000)</f>
        <v>-7.08516689215564</v>
      </c>
      <c r="I65" s="17" t="n">
        <f aca="false">IF(OR(Inputs!$B$25="",Inputs!$C$25=""),"",Inputs!I$31+Inputs!$B$25-Inputs!$K$31-20*LOG10($A65*1000/Inputs!$C$25)-Reference!I$10*($A65*1000-Inputs!$C$25)/1000)</f>
        <v>-126.15396443709</v>
      </c>
      <c r="J65" s="17" t="n">
        <f aca="false">IF(OR(Inputs!$B$25="",Inputs!$C$25=""),"",Inputs!J$31+Inputs!$B$25-Inputs!$K$31-20*LOG10($A65*1000/Inputs!$C$25)-Reference!J$10*($A65*1000-Inputs!$C$25)/1000)</f>
        <v>-551.031300541472</v>
      </c>
      <c r="K65" s="17" t="n">
        <f aca="false">IF(COUNT(B65:J65)&lt;9,"",10*LOG10(SUMPRODUCT(10^((B65:J65+Reference!$B$7:$J$7)/10))))</f>
        <v>42.1574424040428</v>
      </c>
      <c r="L65" s="17" t="n">
        <f aca="false">IF(COUNT(B65:J65)&lt;9,"",10*LOG10(SUMPRODUCT(10^((B65:J65+Reference!$B$8:$J$8)/10))))</f>
        <v>61.4518451889716</v>
      </c>
      <c r="M65" s="17" t="n">
        <f aca="false">IF(ISNUMBER(K65),Inputs!$B$12-K65,"")</f>
        <v>-7.15744240404281</v>
      </c>
      <c r="N65" s="8" t="str">
        <f aca="false">IF(ISNUMBER(M65),IF(M65&gt;=0,"yes","no"),"")</f>
        <v>no</v>
      </c>
    </row>
    <row r="66" customFormat="false" ht="15" hidden="false" customHeight="false" outlineLevel="0" collapsed="false">
      <c r="A66" s="20" t="n">
        <f aca="false">Inputs!$A$20</f>
        <v>10</v>
      </c>
      <c r="B66" s="17" t="n">
        <f aca="false">IF(OR(Inputs!$B$25="",Inputs!$C$25=""),"",Inputs!B$31+Inputs!$B$25-Inputs!$K$31-20*LOG10($A66*1000/Inputs!$C$25)-Reference!B$10*($A66*1000-Inputs!$C$25)/1000)</f>
        <v>45.7010317005402</v>
      </c>
      <c r="C66" s="17" t="n">
        <f aca="false">IF(OR(Inputs!$B$25="",Inputs!$C$25=""),"",Inputs!C$31+Inputs!$B$25-Inputs!$K$31-20*LOG10($A66*1000/Inputs!$C$25)-Reference!C$10*($A66*1000-Inputs!$C$25)/1000)</f>
        <v>54.8062208730905</v>
      </c>
      <c r="D66" s="17" t="n">
        <f aca="false">IF(OR(Inputs!$B$25="",Inputs!$C$25=""),"",Inputs!D$31+Inputs!$B$25-Inputs!$K$31-20*LOG10($A66*1000/Inputs!$C$25)-Reference!D$10*($A66*1000-Inputs!$C$25)/1000)</f>
        <v>42.9193974258563</v>
      </c>
      <c r="E66" s="17" t="n">
        <f aca="false">IF(OR(Inputs!$B$25="",Inputs!$C$25=""),"",Inputs!E$31+Inputs!$B$25-Inputs!$K$31-20*LOG10($A66*1000/Inputs!$C$25)-Reference!E$10*($A66*1000-Inputs!$C$25)/1000)</f>
        <v>33.6078750513353</v>
      </c>
      <c r="F66" s="17" t="n">
        <f aca="false">IF(OR(Inputs!$B$25="",Inputs!$C$25=""),"",Inputs!F$31+Inputs!$B$25-Inputs!$K$31-20*LOG10($A66*1000/Inputs!$C$25)-Reference!F$10*($A66*1000-Inputs!$C$25)/1000)</f>
        <v>24.78061731157</v>
      </c>
      <c r="G66" s="17" t="n">
        <f aca="false">IF(OR(Inputs!$B$25="",Inputs!$C$25=""),"",Inputs!G$31+Inputs!$B$25-Inputs!$K$31-20*LOG10($A66*1000/Inputs!$C$25)-Reference!G$10*($A66*1000-Inputs!$C$25)/1000)</f>
        <v>2.51697760232322</v>
      </c>
      <c r="H66" s="17" t="n">
        <f aca="false">IF(OR(Inputs!$B$25="",Inputs!$C$25=""),"",Inputs!H$31+Inputs!$B$25-Inputs!$K$31-20*LOG10($A66*1000/Inputs!$C$25)-Reference!H$10*($A66*1000-Inputs!$C$25)/1000)</f>
        <v>-61.4254936315973</v>
      </c>
      <c r="I66" s="17" t="n">
        <f aca="false">IF(OR(Inputs!$B$25="",Inputs!$C$25=""),"",Inputs!I$31+Inputs!$B$25-Inputs!$K$31-20*LOG10($A66*1000/Inputs!$C$25)-Reference!I$10*($A66*1000-Inputs!$C$25)/1000)</f>
        <v>-296.025212406386</v>
      </c>
      <c r="J66" s="17" t="n">
        <f aca="false">IF(OR(Inputs!$B$25="",Inputs!$C$25=""),"",Inputs!J$31+Inputs!$B$25-Inputs!$K$31-20*LOG10($A66*1000/Inputs!$C$25)-Reference!J$10*($A66*1000-Inputs!$C$25)/1000)</f>
        <v>-1141.46212291276</v>
      </c>
      <c r="K66" s="17" t="n">
        <f aca="false">IF(COUNT(B66:J66)&lt;9,"",10*LOG10(SUMPRODUCT(10^((B66:J66+Reference!$B$7:$J$7)/10))))</f>
        <v>32.2349622547819</v>
      </c>
      <c r="L66" s="17" t="n">
        <f aca="false">IF(COUNT(B66:J66)&lt;9,"",10*LOG10(SUMPRODUCT(10^((B66:J66+Reference!$B$8:$J$8)/10))))</f>
        <v>54.6460233662677</v>
      </c>
      <c r="M66" s="17" t="n">
        <f aca="false">IF(ISNUMBER(K66),Inputs!$B$12-K66,"")</f>
        <v>2.76503774521806</v>
      </c>
      <c r="N66" s="8" t="str">
        <f aca="false">IF(ISNUMBER(M66),IF(M66&gt;=0,"yes","no"),"")</f>
        <v>yes</v>
      </c>
    </row>
    <row r="67" customFormat="false" ht="15" hidden="false" customHeight="false" outlineLevel="0" collapsed="false">
      <c r="A67" s="7" t="s">
        <v>124</v>
      </c>
    </row>
    <row r="68" customFormat="false" ht="23.85" hidden="false" customHeight="false" outlineLevel="0" collapsed="false">
      <c r="A68" s="13" t="s">
        <v>114</v>
      </c>
      <c r="B68" s="13" t="s">
        <v>64</v>
      </c>
      <c r="C68" s="13" t="s">
        <v>65</v>
      </c>
      <c r="D68" s="13" t="s">
        <v>66</v>
      </c>
      <c r="E68" s="13" t="s">
        <v>67</v>
      </c>
      <c r="F68" s="13" t="s">
        <v>68</v>
      </c>
      <c r="G68" s="13" t="s">
        <v>69</v>
      </c>
      <c r="H68" s="13" t="s">
        <v>70</v>
      </c>
      <c r="I68" s="13" t="s">
        <v>71</v>
      </c>
      <c r="J68" s="13" t="s">
        <v>72</v>
      </c>
      <c r="K68" s="13" t="s">
        <v>125</v>
      </c>
      <c r="L68" s="13" t="s">
        <v>88</v>
      </c>
    </row>
    <row r="69" customFormat="false" ht="15" hidden="false" customHeight="false" outlineLevel="0" collapsed="false">
      <c r="A69" s="17" t="n">
        <f aca="false">A61</f>
        <v>0.5</v>
      </c>
      <c r="B69" s="17" t="n">
        <f aca="false">IF(ISNUMBER(B61),Reference!B$9-B61,"")</f>
        <v>-12.5259071070441</v>
      </c>
      <c r="C69" s="17" t="n">
        <f aca="false">IF(ISNUMBER(C61),Reference!C$9-C61,"")</f>
        <v>-44.4828701133391</v>
      </c>
      <c r="D69" s="17" t="n">
        <f aca="false">IF(ISNUMBER(D61),Reference!D$9-D61,"")</f>
        <v>-50.7440248974401</v>
      </c>
      <c r="E69" s="17" t="n">
        <f aca="false">IF(ISNUMBER(E61),Reference!E$9-E61,"")</f>
        <v>-58.1404647030744</v>
      </c>
      <c r="F69" s="17" t="n">
        <f aca="false">IF(ISNUMBER(F61),Reference!F$9-F61,"")</f>
        <v>-64.7159072165927</v>
      </c>
      <c r="G69" s="17" t="n">
        <f aca="false">IF(ISNUMBER(G61),Reference!G$9-G61,"")</f>
        <v>-60.8855918798754</v>
      </c>
      <c r="H69" s="17" t="n">
        <f aca="false">IF(ISNUMBER(H61),Reference!H$9-H61,"")</f>
        <v>-57.7025872513902</v>
      </c>
      <c r="I69" s="17" t="n">
        <f aca="false">IF(ISNUMBER(I61),Reference!I$9-I61,"")</f>
        <v>-46.7116188133242</v>
      </c>
      <c r="J69" s="17" t="n">
        <f aca="false">IF(ISNUMBER(J61),Reference!J$9-J61,"")</f>
        <v>17.6621003292667</v>
      </c>
      <c r="K69" s="17" t="n">
        <f aca="false">IF(COUNT(B69:J69)=0,"",MIN(B69:J69))</f>
        <v>-64.7159072165927</v>
      </c>
      <c r="L69" s="8" t="str">
        <f aca="false">IF(COUNT(B69:J69)&lt;9,"",IF(K69&gt;=0,"yes","no"))</f>
        <v>no</v>
      </c>
    </row>
    <row r="70" customFormat="false" ht="15" hidden="false" customHeight="false" outlineLevel="0" collapsed="false">
      <c r="A70" s="17" t="n">
        <f aca="false">A62</f>
        <v>1</v>
      </c>
      <c r="B70" s="17" t="n">
        <f aca="false">IF(ISNUMBER(B62),Reference!B$9-B62,"")</f>
        <v>-6.48929269412112</v>
      </c>
      <c r="C70" s="17" t="n">
        <f aca="false">IF(ISNUMBER(C62),Reference!C$9-C62,"")</f>
        <v>-38.4014254986401</v>
      </c>
      <c r="D70" s="17" t="n">
        <f aca="false">IF(ISNUMBER(D62),Reference!D$9-D62,"")</f>
        <v>-44.5179498495129</v>
      </c>
      <c r="E70" s="17" t="n">
        <f aca="false">IF(ISNUMBER(E62),Reference!E$9-E62,"")</f>
        <v>-51.5981811193495</v>
      </c>
      <c r="F70" s="17" t="n">
        <f aca="false">IF(ISNUMBER(F62),Reference!F$9-F62,"")</f>
        <v>-57.731376251116</v>
      </c>
      <c r="G70" s="17" t="n">
        <f aca="false">IF(ISNUMBER(G62),Reference!G$9-G62,"")</f>
        <v>-53.0361491053183</v>
      </c>
      <c r="H70" s="17" t="n">
        <f aca="false">IF(ISNUMBER(H62),Reference!H$9-H62,"")</f>
        <v>-46.8500146554944</v>
      </c>
      <c r="I70" s="17" t="n">
        <f aca="false">IF(ISNUMBER(I62),Reference!I$9-I62,"")</f>
        <v>-24.305954094443</v>
      </c>
      <c r="J70" s="17" t="n">
        <f aca="false">IF(ISNUMBER(J62),Reference!J$9-J62,"")</f>
        <v>82.1237224883469</v>
      </c>
      <c r="K70" s="17" t="n">
        <f aca="false">IF(COUNT(B70:J70)=0,"",MIN(B70:J70))</f>
        <v>-57.731376251116</v>
      </c>
      <c r="L70" s="8" t="str">
        <f aca="false">IF(COUNT(B70:J70)&lt;9,"",IF(K70&gt;=0,"yes","no"))</f>
        <v>no</v>
      </c>
    </row>
    <row r="71" customFormat="false" ht="15" hidden="false" customHeight="false" outlineLevel="0" collapsed="false">
      <c r="A71" s="17" t="n">
        <f aca="false">A63</f>
        <v>2</v>
      </c>
      <c r="B71" s="17" t="n">
        <f aca="false">IF(ISNUMBER(B63),Reference!B$9-B63,"")</f>
        <v>-0.436663781554721</v>
      </c>
      <c r="C71" s="17" t="n">
        <f aca="false">IF(ISNUMBER(C63),Reference!C$9-C63,"")</f>
        <v>-32.2591361825216</v>
      </c>
      <c r="D71" s="17" t="n">
        <f aca="false">IF(ISNUMBER(D63),Reference!D$9-D63,"")</f>
        <v>-38.0863996669381</v>
      </c>
      <c r="E71" s="17" t="n">
        <f aca="false">IF(ISNUMBER(E63),Reference!E$9-E63,"")</f>
        <v>-44.5342138651794</v>
      </c>
      <c r="F71" s="17" t="n">
        <f aca="false">IF(ISNUMBER(F63),Reference!F$9-F63,"")</f>
        <v>-49.7829142334424</v>
      </c>
      <c r="G71" s="17" t="n">
        <f aca="false">IF(ISNUMBER(G63),Reference!G$9-G63,"")</f>
        <v>-43.3578634694836</v>
      </c>
      <c r="H71" s="17" t="n">
        <f aca="false">IF(ISNUMBER(H63),Reference!H$9-H63,"")</f>
        <v>-31.1654693769824</v>
      </c>
      <c r="I71" s="17" t="n">
        <f aca="false">IF(ISNUMBER(I63),Reference!I$9-I63,"")</f>
        <v>14.4847754300399</v>
      </c>
      <c r="J71" s="17" t="n">
        <f aca="false">IF(ISNUMBER(J63),Reference!J$9-J63,"")</f>
        <v>205.026366893228</v>
      </c>
      <c r="K71" s="17" t="n">
        <f aca="false">IF(COUNT(B71:J71)=0,"",MIN(B71:J71))</f>
        <v>-49.7829142334424</v>
      </c>
      <c r="L71" s="8" t="str">
        <f aca="false">IF(COUNT(B71:J71)&lt;9,"",IF(K71&gt;=0,"yes","no"))</f>
        <v>no</v>
      </c>
    </row>
    <row r="72" customFormat="false" ht="15" hidden="false" customHeight="false" outlineLevel="0" collapsed="false">
      <c r="A72" s="17" t="n">
        <f aca="false">A64</f>
        <v>3</v>
      </c>
      <c r="B72" s="17" t="n">
        <f aca="false">IF(ISNUMBER(B64),Reference!B$9-B64,"")</f>
        <v>3.11719039884568</v>
      </c>
      <c r="C72" s="17" t="n">
        <f aca="false">IF(ISNUMBER(C64),Reference!C$9-C64,"")</f>
        <v>-28.6156215985691</v>
      </c>
      <c r="D72" s="17" t="n">
        <f aca="false">IF(ISNUMBER(D64),Reference!D$9-D64,"")</f>
        <v>-34.1536242165293</v>
      </c>
      <c r="E72" s="17" t="n">
        <f aca="false">IF(ISNUMBER(E64),Reference!E$9-E64,"")</f>
        <v>-39.9690213431753</v>
      </c>
      <c r="F72" s="17" t="n">
        <f aca="false">IF(ISNUMBER(F64),Reference!F$9-F64,"")</f>
        <v>-44.3332269479348</v>
      </c>
      <c r="G72" s="17" t="n">
        <f aca="false">IF(ISNUMBER(G64),Reference!G$9-G64,"")</f>
        <v>-36.178352565815</v>
      </c>
      <c r="H72" s="17" t="n">
        <f aca="false">IF(ISNUMBER(H64),Reference!H$9-H64,"")</f>
        <v>-17.9796988306363</v>
      </c>
      <c r="I72" s="17" t="n">
        <f aca="false">IF(ISNUMBER(I64),Reference!I$9-I64,"")</f>
        <v>50.7767302223567</v>
      </c>
      <c r="J72" s="17" t="n">
        <f aca="false">IF(ISNUMBER(J64),Reference!J$9-J64,"")</f>
        <v>325.430236565942</v>
      </c>
      <c r="K72" s="17" t="n">
        <f aca="false">IF(COUNT(B72:J72)=0,"",MIN(B72:J72))</f>
        <v>-44.3332269479348</v>
      </c>
      <c r="L72" s="8" t="str">
        <f aca="false">IF(COUNT(B72:J72)&lt;9,"",IF(K72&gt;=0,"yes","no"))</f>
        <v>no</v>
      </c>
    </row>
    <row r="73" customFormat="false" ht="15" hidden="false" customHeight="false" outlineLevel="0" collapsed="false">
      <c r="A73" s="17" t="n">
        <f aca="false">A65</f>
        <v>5</v>
      </c>
      <c r="B73" s="17" t="n">
        <f aca="false">IF(ISNUMBER(B65),Reference!B$9-B65,"")</f>
        <v>7.61822338974635</v>
      </c>
      <c r="C73" s="17" t="n">
        <f aca="false">IF(ISNUMBER(C65),Reference!C$9-C65,"")</f>
        <v>-23.9352678005643</v>
      </c>
      <c r="D73" s="17" t="n">
        <f aca="false">IF(ISNUMBER(D65),Reference!D$9-D65,"")</f>
        <v>-28.8947486856118</v>
      </c>
      <c r="E73" s="17" t="n">
        <f aca="false">IF(ISNUMBER(E65),Reference!E$9-E65,"")</f>
        <v>-33.4453116690673</v>
      </c>
      <c r="F73" s="17" t="n">
        <f aca="false">IF(ISNUMBER(F65),Reference!F$9-F65,"")</f>
        <v>-36.0405277468197</v>
      </c>
      <c r="G73" s="17" t="n">
        <f aca="false">IF(ISNUMBER(G65),Reference!G$9-G65,"")</f>
        <v>-24.4260061283779</v>
      </c>
      <c r="H73" s="17" t="n">
        <f aca="false">IF(ISNUMBER(H65),Reference!H$9-H65,"")</f>
        <v>5.78516689215564</v>
      </c>
      <c r="I73" s="17" t="n">
        <f aca="false">IF(ISNUMBER(I65),Reference!I$9-I65,"")</f>
        <v>120.75396443709</v>
      </c>
      <c r="J73" s="17" t="n">
        <f aca="false">IF(ISNUMBER(J65),Reference!J$9-J65,"")</f>
        <v>563.631300541472</v>
      </c>
      <c r="K73" s="17" t="n">
        <f aca="false">IF(COUNT(B73:J73)=0,"",MIN(B73:J73))</f>
        <v>-36.0405277468197</v>
      </c>
      <c r="L73" s="8" t="str">
        <f aca="false">IF(COUNT(B73:J73)&lt;9,"",IF(K73&gt;=0,"yes","no"))</f>
        <v>no</v>
      </c>
    </row>
    <row r="74" customFormat="false" ht="15" hidden="false" customHeight="false" outlineLevel="0" collapsed="false">
      <c r="A74" s="17" t="n">
        <f aca="false">A66</f>
        <v>10</v>
      </c>
      <c r="B74" s="17" t="n">
        <f aca="false">IF(ISNUMBER(B66),Reference!B$9-B66,"")</f>
        <v>13.7989682994598</v>
      </c>
      <c r="C74" s="17" t="n">
        <f aca="false">IF(ISNUMBER(C66),Reference!C$9-C66,"")</f>
        <v>-17.3062208730905</v>
      </c>
      <c r="D74" s="17" t="n">
        <f aca="false">IF(ISNUMBER(D66),Reference!D$9-D66,"")</f>
        <v>-20.8193974258563</v>
      </c>
      <c r="E74" s="17" t="n">
        <f aca="false">IF(ISNUMBER(E66),Reference!E$9-E66,"")</f>
        <v>-22.2078750513353</v>
      </c>
      <c r="F74" s="17" t="n">
        <f aca="false">IF(ISNUMBER(F66),Reference!F$9-F66,"")</f>
        <v>-20.38061731157</v>
      </c>
      <c r="G74" s="17" t="n">
        <f aca="false">IF(ISNUMBER(G66),Reference!G$9-G66,"")</f>
        <v>-0.116977602323223</v>
      </c>
      <c r="H74" s="17" t="n">
        <f aca="false">IF(ISNUMBER(H66),Reference!H$9-H66,"")</f>
        <v>60.1254936315973</v>
      </c>
      <c r="I74" s="17" t="n">
        <f aca="false">IF(ISNUMBER(I66),Reference!I$9-I66,"")</f>
        <v>290.625212406386</v>
      </c>
      <c r="J74" s="17" t="n">
        <f aca="false">IF(ISNUMBER(J66),Reference!J$9-J66,"")</f>
        <v>1154.06212291276</v>
      </c>
      <c r="K74" s="17" t="n">
        <f aca="false">IF(COUNT(B74:J74)=0,"",MIN(B74:J74))</f>
        <v>-22.2078750513353</v>
      </c>
      <c r="L74" s="8" t="str">
        <f aca="false">IF(COUNT(B74:J74)&lt;9,"",IF(K74&gt;=0,"yes","no"))</f>
        <v>no</v>
      </c>
    </row>
    <row r="76" customFormat="false" ht="15" hidden="false" customHeight="false" outlineLevel="0" collapsed="false">
      <c r="A76" s="26" t="str">
        <f aca="false">"Class: "&amp;Inputs!A25&amp;"   Character: "&amp;Inputs!A32</f>
        <v>Class: Medium (2-4 subs)   Character: Bass heavy</v>
      </c>
    </row>
    <row r="77" customFormat="false" ht="15" hidden="false" customHeight="false" outlineLevel="0" collapsed="false">
      <c r="A77" s="7" t="s">
        <v>120</v>
      </c>
    </row>
    <row r="78" customFormat="false" ht="23.85" hidden="false" customHeight="false" outlineLevel="0" collapsed="false">
      <c r="A78" s="13" t="s">
        <v>114</v>
      </c>
      <c r="B78" s="13" t="s">
        <v>64</v>
      </c>
      <c r="C78" s="13" t="s">
        <v>65</v>
      </c>
      <c r="D78" s="13" t="s">
        <v>66</v>
      </c>
      <c r="E78" s="13" t="s">
        <v>67</v>
      </c>
      <c r="F78" s="13" t="s">
        <v>68</v>
      </c>
      <c r="G78" s="13" t="s">
        <v>69</v>
      </c>
      <c r="H78" s="13" t="s">
        <v>70</v>
      </c>
      <c r="I78" s="13" t="s">
        <v>71</v>
      </c>
      <c r="J78" s="13" t="s">
        <v>72</v>
      </c>
      <c r="K78" s="13" t="s">
        <v>121</v>
      </c>
      <c r="L78" s="13" t="s">
        <v>122</v>
      </c>
      <c r="M78" s="13" t="s">
        <v>86</v>
      </c>
      <c r="N78" s="13" t="s">
        <v>123</v>
      </c>
    </row>
    <row r="79" customFormat="false" ht="15" hidden="false" customHeight="false" outlineLevel="0" collapsed="false">
      <c r="A79" s="20" t="n">
        <f aca="false">Inputs!$A$15</f>
        <v>0.5</v>
      </c>
      <c r="B79" s="17" t="n">
        <f aca="false">IF(OR(Inputs!$B$25="",Inputs!$C$25=""),"",Inputs!B$32+Inputs!$B$25-Inputs!$K$32-20*LOG10($A79*1000/Inputs!$C$25)-Reference!B$10*($A79*1000-Inputs!$C$25)/1000)</f>
        <v>81.6242930160954</v>
      </c>
      <c r="C79" s="17" t="n">
        <f aca="false">IF(OR(Inputs!$B$25="",Inputs!$C$25=""),"",Inputs!C$32+Inputs!$B$25-Inputs!$K$32-20*LOG10($A79*1000/Inputs!$C$25)-Reference!C$10*($A79*1000-Inputs!$C$25)/1000)</f>
        <v>85.5812560223904</v>
      </c>
      <c r="D79" s="17" t="n">
        <f aca="false">IF(OR(Inputs!$B$25="",Inputs!$C$25=""),"",Inputs!D$32+Inputs!$B$25-Inputs!$K$32-20*LOG10($A79*1000/Inputs!$C$25)-Reference!D$10*($A79*1000-Inputs!$C$25)/1000)</f>
        <v>70.4424108064914</v>
      </c>
      <c r="E79" s="17" t="n">
        <f aca="false">IF(OR(Inputs!$B$25="",Inputs!$C$25=""),"",Inputs!E$32+Inputs!$B$25-Inputs!$K$32-20*LOG10($A79*1000/Inputs!$C$25)-Reference!E$10*($A79*1000-Inputs!$C$25)/1000)</f>
        <v>68.1388506121256</v>
      </c>
      <c r="F79" s="17" t="n">
        <f aca="false">IF(OR(Inputs!$B$25="",Inputs!$C$25=""),"",Inputs!F$32+Inputs!$B$25-Inputs!$K$32-20*LOG10($A79*1000/Inputs!$C$25)-Reference!F$10*($A79*1000-Inputs!$C$25)/1000)</f>
        <v>65.7142931256439</v>
      </c>
      <c r="G79" s="17" t="n">
        <f aca="false">IF(OR(Inputs!$B$25="",Inputs!$C$25=""),"",Inputs!G$32+Inputs!$B$25-Inputs!$K$32-20*LOG10($A79*1000/Inputs!$C$25)-Reference!G$10*($A79*1000-Inputs!$C$25)/1000)</f>
        <v>64.8839777889267</v>
      </c>
      <c r="H79" s="17" t="n">
        <f aca="false">IF(OR(Inputs!$B$25="",Inputs!$C$25=""),"",Inputs!H$32+Inputs!$B$25-Inputs!$K$32-20*LOG10($A79*1000/Inputs!$C$25)-Reference!H$10*($A79*1000-Inputs!$C$25)/1000)</f>
        <v>58.0009731604415</v>
      </c>
      <c r="I79" s="17" t="n">
        <f aca="false">IF(OR(Inputs!$B$25="",Inputs!$C$25=""),"",Inputs!I$32+Inputs!$B$25-Inputs!$K$32-20*LOG10($A79*1000/Inputs!$C$25)-Reference!I$10*($A79*1000-Inputs!$C$25)/1000)</f>
        <v>42.9100047223755</v>
      </c>
      <c r="J79" s="17" t="n">
        <f aca="false">IF(OR(Inputs!$B$25="",Inputs!$C$25=""),"",Inputs!J$32+Inputs!$B$25-Inputs!$K$32-20*LOG10($A79*1000/Inputs!$C$25)-Reference!J$10*($A79*1000-Inputs!$C$25)/1000)</f>
        <v>0.53628557978454</v>
      </c>
      <c r="K79" s="17" t="n">
        <f aca="false">IF(COUNT(B79:J79)&lt;9,"",10*LOG10(SUMPRODUCT(10^((B79:J79+Reference!$B$7:$J$7)/10))))</f>
        <v>68.9067625588356</v>
      </c>
      <c r="L79" s="17" t="n">
        <f aca="false">IF(COUNT(B79:J79)&lt;9,"",10*LOG10(SUMPRODUCT(10^((B79:J79+Reference!$B$8:$J$8)/10))))</f>
        <v>85.9994701992312</v>
      </c>
      <c r="M79" s="17" t="n">
        <f aca="false">IF(ISNUMBER(K79),Inputs!$B$12-K79,"")</f>
        <v>-33.9067625588356</v>
      </c>
      <c r="N79" s="8" t="str">
        <f aca="false">IF(ISNUMBER(M79),IF(M79&gt;=0,"yes","no"),"")</f>
        <v>no</v>
      </c>
    </row>
    <row r="80" customFormat="false" ht="15" hidden="false" customHeight="false" outlineLevel="0" collapsed="false">
      <c r="A80" s="20" t="n">
        <f aca="false">Inputs!$A$16</f>
        <v>1</v>
      </c>
      <c r="B80" s="17" t="n">
        <f aca="false">IF(OR(Inputs!$B$25="",Inputs!$C$25=""),"",Inputs!B$32+Inputs!$B$25-Inputs!$K$32-20*LOG10($A80*1000/Inputs!$C$25)-Reference!B$10*($A80*1000-Inputs!$C$25)/1000)</f>
        <v>75.5876786031724</v>
      </c>
      <c r="C80" s="17" t="n">
        <f aca="false">IF(OR(Inputs!$B$25="",Inputs!$C$25=""),"",Inputs!C$32+Inputs!$B$25-Inputs!$K$32-20*LOG10($A80*1000/Inputs!$C$25)-Reference!C$10*($A80*1000-Inputs!$C$25)/1000)</f>
        <v>79.4998114076914</v>
      </c>
      <c r="D80" s="17" t="n">
        <f aca="false">IF(OR(Inputs!$B$25="",Inputs!$C$25=""),"",Inputs!D$32+Inputs!$B$25-Inputs!$K$32-20*LOG10($A80*1000/Inputs!$C$25)-Reference!D$10*($A80*1000-Inputs!$C$25)/1000)</f>
        <v>64.2163357585642</v>
      </c>
      <c r="E80" s="17" t="n">
        <f aca="false">IF(OR(Inputs!$B$25="",Inputs!$C$25=""),"",Inputs!E$32+Inputs!$B$25-Inputs!$K$32-20*LOG10($A80*1000/Inputs!$C$25)-Reference!E$10*($A80*1000-Inputs!$C$25)/1000)</f>
        <v>61.5965670284008</v>
      </c>
      <c r="F80" s="17" t="n">
        <f aca="false">IF(OR(Inputs!$B$25="",Inputs!$C$25=""),"",Inputs!F$32+Inputs!$B$25-Inputs!$K$32-20*LOG10($A80*1000/Inputs!$C$25)-Reference!F$10*($A80*1000-Inputs!$C$25)/1000)</f>
        <v>58.7297621601673</v>
      </c>
      <c r="G80" s="17" t="n">
        <f aca="false">IF(OR(Inputs!$B$25="",Inputs!$C$25=""),"",Inputs!G$32+Inputs!$B$25-Inputs!$K$32-20*LOG10($A80*1000/Inputs!$C$25)-Reference!G$10*($A80*1000-Inputs!$C$25)/1000)</f>
        <v>57.0345350143695</v>
      </c>
      <c r="H80" s="17" t="n">
        <f aca="false">IF(OR(Inputs!$B$25="",Inputs!$C$25=""),"",Inputs!H$32+Inputs!$B$25-Inputs!$K$32-20*LOG10($A80*1000/Inputs!$C$25)-Reference!H$10*($A80*1000-Inputs!$C$25)/1000)</f>
        <v>47.1484005645457</v>
      </c>
      <c r="I80" s="17" t="n">
        <f aca="false">IF(OR(Inputs!$B$25="",Inputs!$C$25=""),"",Inputs!I$32+Inputs!$B$25-Inputs!$K$32-20*LOG10($A80*1000/Inputs!$C$25)-Reference!I$10*($A80*1000-Inputs!$C$25)/1000)</f>
        <v>20.5043400034943</v>
      </c>
      <c r="J80" s="17" t="n">
        <f aca="false">IF(OR(Inputs!$B$25="",Inputs!$C$25=""),"",Inputs!J$32+Inputs!$B$25-Inputs!$K$32-20*LOG10($A80*1000/Inputs!$C$25)-Reference!J$10*($A80*1000-Inputs!$C$25)/1000)</f>
        <v>-63.9253365792956</v>
      </c>
      <c r="K80" s="17" t="n">
        <f aca="false">IF(COUNT(B80:J80)&lt;9,"",10*LOG10(SUMPRODUCT(10^((B80:J80+Reference!$B$7:$J$7)/10))))</f>
        <v>61.5016377622703</v>
      </c>
      <c r="L80" s="17" t="n">
        <f aca="false">IF(COUNT(B80:J80)&lt;9,"",10*LOG10(SUMPRODUCT(10^((B80:J80+Reference!$B$8:$J$8)/10))))</f>
        <v>79.8918331577372</v>
      </c>
      <c r="M80" s="17" t="n">
        <f aca="false">IF(ISNUMBER(K80),Inputs!$B$12-K80,"")</f>
        <v>-26.5016377622703</v>
      </c>
      <c r="N80" s="8" t="str">
        <f aca="false">IF(ISNUMBER(M80),IF(M80&gt;=0,"yes","no"),"")</f>
        <v>no</v>
      </c>
    </row>
    <row r="81" customFormat="false" ht="15" hidden="false" customHeight="false" outlineLevel="0" collapsed="false">
      <c r="A81" s="20" t="n">
        <f aca="false">Inputs!$A$17</f>
        <v>2</v>
      </c>
      <c r="B81" s="17" t="n">
        <f aca="false">IF(OR(Inputs!$B$25="",Inputs!$C$25=""),"",Inputs!B$32+Inputs!$B$25-Inputs!$K$32-20*LOG10($A81*1000/Inputs!$C$25)-Reference!B$10*($A81*1000-Inputs!$C$25)/1000)</f>
        <v>69.535049690606</v>
      </c>
      <c r="C81" s="17" t="n">
        <f aca="false">IF(OR(Inputs!$B$25="",Inputs!$C$25=""),"",Inputs!C$32+Inputs!$B$25-Inputs!$K$32-20*LOG10($A81*1000/Inputs!$C$25)-Reference!C$10*($A81*1000-Inputs!$C$25)/1000)</f>
        <v>73.3575220915729</v>
      </c>
      <c r="D81" s="17" t="n">
        <f aca="false">IF(OR(Inputs!$B$25="",Inputs!$C$25=""),"",Inputs!D$32+Inputs!$B$25-Inputs!$K$32-20*LOG10($A81*1000/Inputs!$C$25)-Reference!D$10*($A81*1000-Inputs!$C$25)/1000)</f>
        <v>57.7847855759894</v>
      </c>
      <c r="E81" s="17" t="n">
        <f aca="false">IF(OR(Inputs!$B$25="",Inputs!$C$25=""),"",Inputs!E$32+Inputs!$B$25-Inputs!$K$32-20*LOG10($A81*1000/Inputs!$C$25)-Reference!E$10*($A81*1000-Inputs!$C$25)/1000)</f>
        <v>54.5325997742307</v>
      </c>
      <c r="F81" s="17" t="n">
        <f aca="false">IF(OR(Inputs!$B$25="",Inputs!$C$25=""),"",Inputs!F$32+Inputs!$B$25-Inputs!$K$32-20*LOG10($A81*1000/Inputs!$C$25)-Reference!F$10*($A81*1000-Inputs!$C$25)/1000)</f>
        <v>50.7813001424937</v>
      </c>
      <c r="G81" s="17" t="n">
        <f aca="false">IF(OR(Inputs!$B$25="",Inputs!$C$25=""),"",Inputs!G$32+Inputs!$B$25-Inputs!$K$32-20*LOG10($A81*1000/Inputs!$C$25)-Reference!G$10*($A81*1000-Inputs!$C$25)/1000)</f>
        <v>47.3562493785349</v>
      </c>
      <c r="H81" s="17" t="n">
        <f aca="false">IF(OR(Inputs!$B$25="",Inputs!$C$25=""),"",Inputs!H$32+Inputs!$B$25-Inputs!$K$32-20*LOG10($A81*1000/Inputs!$C$25)-Reference!H$10*($A81*1000-Inputs!$C$25)/1000)</f>
        <v>31.4638552860336</v>
      </c>
      <c r="I81" s="17" t="n">
        <f aca="false">IF(OR(Inputs!$B$25="",Inputs!$C$25=""),"",Inputs!I$32+Inputs!$B$25-Inputs!$K$32-20*LOG10($A81*1000/Inputs!$C$25)-Reference!I$10*($A81*1000-Inputs!$C$25)/1000)</f>
        <v>-18.2863895209886</v>
      </c>
      <c r="J81" s="17" t="n">
        <f aca="false">IF(OR(Inputs!$B$25="",Inputs!$C$25=""),"",Inputs!J$32+Inputs!$B$25-Inputs!$K$32-20*LOG10($A81*1000/Inputs!$C$25)-Reference!J$10*($A81*1000-Inputs!$C$25)/1000)</f>
        <v>-186.827980984176</v>
      </c>
      <c r="K81" s="17" t="n">
        <f aca="false">IF(COUNT(B81:J81)&lt;9,"",10*LOG10(SUMPRODUCT(10^((B81:J81+Reference!$B$7:$J$7)/10))))</f>
        <v>53.4337947186693</v>
      </c>
      <c r="L81" s="17" t="n">
        <f aca="false">IF(COUNT(B81:J81)&lt;9,"",10*LOG10(SUMPRODUCT(10^((B81:J81+Reference!$B$8:$J$8)/10))))</f>
        <v>73.7209720787371</v>
      </c>
      <c r="M81" s="17" t="n">
        <f aca="false">IF(ISNUMBER(K81),Inputs!$B$12-K81,"")</f>
        <v>-18.4337947186693</v>
      </c>
      <c r="N81" s="8" t="str">
        <f aca="false">IF(ISNUMBER(M81),IF(M81&gt;=0,"yes","no"),"")</f>
        <v>no</v>
      </c>
    </row>
    <row r="82" customFormat="false" ht="15" hidden="false" customHeight="false" outlineLevel="0" collapsed="false">
      <c r="A82" s="20" t="n">
        <f aca="false">Inputs!$A$18</f>
        <v>3</v>
      </c>
      <c r="B82" s="17" t="n">
        <f aca="false">IF(OR(Inputs!$B$25="",Inputs!$C$25=""),"",Inputs!B$32+Inputs!$B$25-Inputs!$K$32-20*LOG10($A82*1000/Inputs!$C$25)-Reference!B$10*($A82*1000-Inputs!$C$25)/1000)</f>
        <v>65.9811955102056</v>
      </c>
      <c r="C82" s="17" t="n">
        <f aca="false">IF(OR(Inputs!$B$25="",Inputs!$C$25=""),"",Inputs!C$32+Inputs!$B$25-Inputs!$K$32-20*LOG10($A82*1000/Inputs!$C$25)-Reference!C$10*($A82*1000-Inputs!$C$25)/1000)</f>
        <v>69.7140075076204</v>
      </c>
      <c r="D82" s="17" t="n">
        <f aca="false">IF(OR(Inputs!$B$25="",Inputs!$C$25=""),"",Inputs!D$32+Inputs!$B$25-Inputs!$K$32-20*LOG10($A82*1000/Inputs!$C$25)-Reference!D$10*($A82*1000-Inputs!$C$25)/1000)</f>
        <v>53.8520101255806</v>
      </c>
      <c r="E82" s="17" t="n">
        <f aca="false">IF(OR(Inputs!$B$25="",Inputs!$C$25=""),"",Inputs!E$32+Inputs!$B$25-Inputs!$K$32-20*LOG10($A82*1000/Inputs!$C$25)-Reference!E$10*($A82*1000-Inputs!$C$25)/1000)</f>
        <v>49.9674072522266</v>
      </c>
      <c r="F82" s="17" t="n">
        <f aca="false">IF(OR(Inputs!$B$25="",Inputs!$C$25=""),"",Inputs!F$32+Inputs!$B$25-Inputs!$K$32-20*LOG10($A82*1000/Inputs!$C$25)-Reference!F$10*($A82*1000-Inputs!$C$25)/1000)</f>
        <v>45.3316128569861</v>
      </c>
      <c r="G82" s="17" t="n">
        <f aca="false">IF(OR(Inputs!$B$25="",Inputs!$C$25=""),"",Inputs!G$32+Inputs!$B$25-Inputs!$K$32-20*LOG10($A82*1000/Inputs!$C$25)-Reference!G$10*($A82*1000-Inputs!$C$25)/1000)</f>
        <v>40.1767384748663</v>
      </c>
      <c r="H82" s="17" t="n">
        <f aca="false">IF(OR(Inputs!$B$25="",Inputs!$C$25=""),"",Inputs!H$32+Inputs!$B$25-Inputs!$K$32-20*LOG10($A82*1000/Inputs!$C$25)-Reference!H$10*($A82*1000-Inputs!$C$25)/1000)</f>
        <v>18.2780847396876</v>
      </c>
      <c r="I82" s="17" t="n">
        <f aca="false">IF(OR(Inputs!$B$25="",Inputs!$C$25=""),"",Inputs!I$32+Inputs!$B$25-Inputs!$K$32-20*LOG10($A82*1000/Inputs!$C$25)-Reference!I$10*($A82*1000-Inputs!$C$25)/1000)</f>
        <v>-54.5783443133055</v>
      </c>
      <c r="J82" s="17" t="n">
        <f aca="false">IF(OR(Inputs!$B$25="",Inputs!$C$25=""),"",Inputs!J$32+Inputs!$B$25-Inputs!$K$32-20*LOG10($A82*1000/Inputs!$C$25)-Reference!J$10*($A82*1000-Inputs!$C$25)/1000)</f>
        <v>-307.231850656891</v>
      </c>
      <c r="K82" s="17" t="n">
        <f aca="false">IF(COUNT(B82:J82)&lt;9,"",10*LOG10(SUMPRODUCT(10^((B82:J82+Reference!$B$7:$J$7)/10))))</f>
        <v>48.4145504314514</v>
      </c>
      <c r="L82" s="17" t="n">
        <f aca="false">IF(COUNT(B82:J82)&lt;9,"",10*LOG10(SUMPRODUCT(10^((B82:J82+Reference!$B$8:$J$8)/10))))</f>
        <v>70.0646178959581</v>
      </c>
      <c r="M82" s="17" t="n">
        <f aca="false">IF(ISNUMBER(K82),Inputs!$B$12-K82,"")</f>
        <v>-13.4145504314514</v>
      </c>
      <c r="N82" s="8" t="str">
        <f aca="false">IF(ISNUMBER(M82),IF(M82&gt;=0,"yes","no"),"")</f>
        <v>no</v>
      </c>
    </row>
    <row r="83" customFormat="false" ht="15" hidden="false" customHeight="false" outlineLevel="0" collapsed="false">
      <c r="A83" s="20" t="n">
        <f aca="false">Inputs!$A$19</f>
        <v>5</v>
      </c>
      <c r="B83" s="17" t="n">
        <f aca="false">IF(OR(Inputs!$B$25="",Inputs!$C$25=""),"",Inputs!B$32+Inputs!$B$25-Inputs!$K$32-20*LOG10($A83*1000/Inputs!$C$25)-Reference!B$10*($A83*1000-Inputs!$C$25)/1000)</f>
        <v>61.4801625193049</v>
      </c>
      <c r="C83" s="17" t="n">
        <f aca="false">IF(OR(Inputs!$B$25="",Inputs!$C$25=""),"",Inputs!C$32+Inputs!$B$25-Inputs!$K$32-20*LOG10($A83*1000/Inputs!$C$25)-Reference!C$10*($A83*1000-Inputs!$C$25)/1000)</f>
        <v>65.0336537096156</v>
      </c>
      <c r="D83" s="17" t="n">
        <f aca="false">IF(OR(Inputs!$B$25="",Inputs!$C$25=""),"",Inputs!D$32+Inputs!$B$25-Inputs!$K$32-20*LOG10($A83*1000/Inputs!$C$25)-Reference!D$10*($A83*1000-Inputs!$C$25)/1000)</f>
        <v>48.5931345946631</v>
      </c>
      <c r="E83" s="17" t="n">
        <f aca="false">IF(OR(Inputs!$B$25="",Inputs!$C$25=""),"",Inputs!E$32+Inputs!$B$25-Inputs!$K$32-20*LOG10($A83*1000/Inputs!$C$25)-Reference!E$10*($A83*1000-Inputs!$C$25)/1000)</f>
        <v>43.4436975781185</v>
      </c>
      <c r="F83" s="17" t="n">
        <f aca="false">IF(OR(Inputs!$B$25="",Inputs!$C$25=""),"",Inputs!F$32+Inputs!$B$25-Inputs!$K$32-20*LOG10($A83*1000/Inputs!$C$25)-Reference!F$10*($A83*1000-Inputs!$C$25)/1000)</f>
        <v>37.0389136558709</v>
      </c>
      <c r="G83" s="17" t="n">
        <f aca="false">IF(OR(Inputs!$B$25="",Inputs!$C$25=""),"",Inputs!G$32+Inputs!$B$25-Inputs!$K$32-20*LOG10($A83*1000/Inputs!$C$25)-Reference!G$10*($A83*1000-Inputs!$C$25)/1000)</f>
        <v>28.4243920374291</v>
      </c>
      <c r="H83" s="17" t="n">
        <f aca="false">IF(OR(Inputs!$B$25="",Inputs!$C$25=""),"",Inputs!H$32+Inputs!$B$25-Inputs!$K$32-20*LOG10($A83*1000/Inputs!$C$25)-Reference!H$10*($A83*1000-Inputs!$C$25)/1000)</f>
        <v>-5.48678098310437</v>
      </c>
      <c r="I83" s="17" t="n">
        <f aca="false">IF(OR(Inputs!$B$25="",Inputs!$C$25=""),"",Inputs!I$32+Inputs!$B$25-Inputs!$K$32-20*LOG10($A83*1000/Inputs!$C$25)-Reference!I$10*($A83*1000-Inputs!$C$25)/1000)</f>
        <v>-124.555578528039</v>
      </c>
      <c r="J83" s="17" t="n">
        <f aca="false">IF(OR(Inputs!$B$25="",Inputs!$C$25=""),"",Inputs!J$32+Inputs!$B$25-Inputs!$K$32-20*LOG10($A83*1000/Inputs!$C$25)-Reference!J$10*($A83*1000-Inputs!$C$25)/1000)</f>
        <v>-545.43291463242</v>
      </c>
      <c r="K83" s="17" t="n">
        <f aca="false">IF(COUNT(B83:J83)&lt;9,"",10*LOG10(SUMPRODUCT(10^((B83:J83+Reference!$B$7:$J$7)/10))))</f>
        <v>41.9724509291895</v>
      </c>
      <c r="L83" s="17" t="n">
        <f aca="false">IF(COUNT(B83:J83)&lt;9,"",10*LOG10(SUMPRODUCT(10^((B83:J83+Reference!$B$8:$J$8)/10))))</f>
        <v>65.3811788056913</v>
      </c>
      <c r="M83" s="17" t="n">
        <f aca="false">IF(ISNUMBER(K83),Inputs!$B$12-K83,"")</f>
        <v>-6.97245092918948</v>
      </c>
      <c r="N83" s="8" t="str">
        <f aca="false">IF(ISNUMBER(M83),IF(M83&gt;=0,"yes","no"),"")</f>
        <v>no</v>
      </c>
    </row>
    <row r="84" customFormat="false" ht="15" hidden="false" customHeight="false" outlineLevel="0" collapsed="false">
      <c r="A84" s="20" t="n">
        <f aca="false">Inputs!$A$20</f>
        <v>10</v>
      </c>
      <c r="B84" s="17" t="n">
        <f aca="false">IF(OR(Inputs!$B$25="",Inputs!$C$25=""),"",Inputs!B$32+Inputs!$B$25-Inputs!$K$32-20*LOG10($A84*1000/Inputs!$C$25)-Reference!B$10*($A84*1000-Inputs!$C$25)/1000)</f>
        <v>55.2994176095914</v>
      </c>
      <c r="C84" s="17" t="n">
        <f aca="false">IF(OR(Inputs!$B$25="",Inputs!$C$25=""),"",Inputs!C$32+Inputs!$B$25-Inputs!$K$32-20*LOG10($A84*1000/Inputs!$C$25)-Reference!C$10*($A84*1000-Inputs!$C$25)/1000)</f>
        <v>58.4046067821417</v>
      </c>
      <c r="D84" s="17" t="n">
        <f aca="false">IF(OR(Inputs!$B$25="",Inputs!$C$25=""),"",Inputs!D$32+Inputs!$B$25-Inputs!$K$32-20*LOG10($A84*1000/Inputs!$C$25)-Reference!D$10*($A84*1000-Inputs!$C$25)/1000)</f>
        <v>40.5177833349076</v>
      </c>
      <c r="E84" s="17" t="n">
        <f aca="false">IF(OR(Inputs!$B$25="",Inputs!$C$25=""),"",Inputs!E$32+Inputs!$B$25-Inputs!$K$32-20*LOG10($A84*1000/Inputs!$C$25)-Reference!E$10*($A84*1000-Inputs!$C$25)/1000)</f>
        <v>32.2062609603866</v>
      </c>
      <c r="F84" s="17" t="n">
        <f aca="false">IF(OR(Inputs!$B$25="",Inputs!$C$25=""),"",Inputs!F$32+Inputs!$B$25-Inputs!$K$32-20*LOG10($A84*1000/Inputs!$C$25)-Reference!F$10*($A84*1000-Inputs!$C$25)/1000)</f>
        <v>21.3790032206213</v>
      </c>
      <c r="G84" s="17" t="n">
        <f aca="false">IF(OR(Inputs!$B$25="",Inputs!$C$25=""),"",Inputs!G$32+Inputs!$B$25-Inputs!$K$32-20*LOG10($A84*1000/Inputs!$C$25)-Reference!G$10*($A84*1000-Inputs!$C$25)/1000)</f>
        <v>4.1153635113745</v>
      </c>
      <c r="H84" s="17" t="n">
        <f aca="false">IF(OR(Inputs!$B$25="",Inputs!$C$25=""),"",Inputs!H$32+Inputs!$B$25-Inputs!$K$32-20*LOG10($A84*1000/Inputs!$C$25)-Reference!H$10*($A84*1000-Inputs!$C$25)/1000)</f>
        <v>-59.8271077225461</v>
      </c>
      <c r="I84" s="17" t="n">
        <f aca="false">IF(OR(Inputs!$B$25="",Inputs!$C$25=""),"",Inputs!I$32+Inputs!$B$25-Inputs!$K$32-20*LOG10($A84*1000/Inputs!$C$25)-Reference!I$10*($A84*1000-Inputs!$C$25)/1000)</f>
        <v>-294.426826497335</v>
      </c>
      <c r="J84" s="17" t="n">
        <f aca="false">IF(OR(Inputs!$B$25="",Inputs!$C$25=""),"",Inputs!J$32+Inputs!$B$25-Inputs!$K$32-20*LOG10($A84*1000/Inputs!$C$25)-Reference!J$10*($A84*1000-Inputs!$C$25)/1000)</f>
        <v>-1135.86373700371</v>
      </c>
      <c r="K84" s="17" t="n">
        <f aca="false">IF(COUNT(B84:J84)&lt;9,"",10*LOG10(SUMPRODUCT(10^((B84:J84+Reference!$B$7:$J$7)/10))))</f>
        <v>33.5689510293977</v>
      </c>
      <c r="L84" s="17" t="n">
        <f aca="false">IF(COUNT(B84:J84)&lt;9,"",10*LOG10(SUMPRODUCT(10^((B84:J84+Reference!$B$8:$J$8)/10))))</f>
        <v>58.7990596641993</v>
      </c>
      <c r="M84" s="17" t="n">
        <f aca="false">IF(ISNUMBER(K84),Inputs!$B$12-K84,"")</f>
        <v>1.4310489706023</v>
      </c>
      <c r="N84" s="8" t="str">
        <f aca="false">IF(ISNUMBER(M84),IF(M84&gt;=0,"yes","no"),"")</f>
        <v>yes</v>
      </c>
    </row>
    <row r="85" customFormat="false" ht="15" hidden="false" customHeight="false" outlineLevel="0" collapsed="false">
      <c r="A85" s="7" t="s">
        <v>124</v>
      </c>
    </row>
    <row r="86" customFormat="false" ht="23.85" hidden="false" customHeight="false" outlineLevel="0" collapsed="false">
      <c r="A86" s="13" t="s">
        <v>114</v>
      </c>
      <c r="B86" s="13" t="s">
        <v>64</v>
      </c>
      <c r="C86" s="13" t="s">
        <v>65</v>
      </c>
      <c r="D86" s="13" t="s">
        <v>66</v>
      </c>
      <c r="E86" s="13" t="s">
        <v>67</v>
      </c>
      <c r="F86" s="13" t="s">
        <v>68</v>
      </c>
      <c r="G86" s="13" t="s">
        <v>69</v>
      </c>
      <c r="H86" s="13" t="s">
        <v>70</v>
      </c>
      <c r="I86" s="13" t="s">
        <v>71</v>
      </c>
      <c r="J86" s="13" t="s">
        <v>72</v>
      </c>
      <c r="K86" s="13" t="s">
        <v>125</v>
      </c>
      <c r="L86" s="13" t="s">
        <v>88</v>
      </c>
    </row>
    <row r="87" customFormat="false" ht="15" hidden="false" customHeight="false" outlineLevel="0" collapsed="false">
      <c r="A87" s="17" t="n">
        <f aca="false">A79</f>
        <v>0.5</v>
      </c>
      <c r="B87" s="17" t="n">
        <f aca="false">IF(ISNUMBER(B79),Reference!B$9-B79,"")</f>
        <v>-22.1242930160954</v>
      </c>
      <c r="C87" s="17" t="n">
        <f aca="false">IF(ISNUMBER(C79),Reference!C$9-C79,"")</f>
        <v>-48.0812560223904</v>
      </c>
      <c r="D87" s="17" t="n">
        <f aca="false">IF(ISNUMBER(D79),Reference!D$9-D79,"")</f>
        <v>-48.3424108064914</v>
      </c>
      <c r="E87" s="17" t="n">
        <f aca="false">IF(ISNUMBER(E79),Reference!E$9-E79,"")</f>
        <v>-56.7388506121256</v>
      </c>
      <c r="F87" s="17" t="n">
        <f aca="false">IF(ISNUMBER(F79),Reference!F$9-F79,"")</f>
        <v>-61.3142931256439</v>
      </c>
      <c r="G87" s="17" t="n">
        <f aca="false">IF(ISNUMBER(G79),Reference!G$9-G79,"")</f>
        <v>-62.4839777889267</v>
      </c>
      <c r="H87" s="17" t="n">
        <f aca="false">IF(ISNUMBER(H79),Reference!H$9-H79,"")</f>
        <v>-59.3009731604415</v>
      </c>
      <c r="I87" s="17" t="n">
        <f aca="false">IF(ISNUMBER(I79),Reference!I$9-I79,"")</f>
        <v>-48.3100047223755</v>
      </c>
      <c r="J87" s="17" t="n">
        <f aca="false">IF(ISNUMBER(J79),Reference!J$9-J79,"")</f>
        <v>12.0637144202155</v>
      </c>
      <c r="K87" s="17" t="n">
        <f aca="false">IF(COUNT(B87:J87)=0,"",MIN(B87:J87))</f>
        <v>-62.4839777889267</v>
      </c>
      <c r="L87" s="8" t="str">
        <f aca="false">IF(COUNT(B87:J87)&lt;9,"",IF(K87&gt;=0,"yes","no"))</f>
        <v>no</v>
      </c>
    </row>
    <row r="88" customFormat="false" ht="15" hidden="false" customHeight="false" outlineLevel="0" collapsed="false">
      <c r="A88" s="17" t="n">
        <f aca="false">A80</f>
        <v>1</v>
      </c>
      <c r="B88" s="17" t="n">
        <f aca="false">IF(ISNUMBER(B80),Reference!B$9-B80,"")</f>
        <v>-16.0876786031724</v>
      </c>
      <c r="C88" s="17" t="n">
        <f aca="false">IF(ISNUMBER(C80),Reference!C$9-C80,"")</f>
        <v>-41.9998114076914</v>
      </c>
      <c r="D88" s="17" t="n">
        <f aca="false">IF(ISNUMBER(D80),Reference!D$9-D80,"")</f>
        <v>-42.1163357585642</v>
      </c>
      <c r="E88" s="17" t="n">
        <f aca="false">IF(ISNUMBER(E80),Reference!E$9-E80,"")</f>
        <v>-50.1965670284008</v>
      </c>
      <c r="F88" s="17" t="n">
        <f aca="false">IF(ISNUMBER(F80),Reference!F$9-F80,"")</f>
        <v>-54.3297621601673</v>
      </c>
      <c r="G88" s="17" t="n">
        <f aca="false">IF(ISNUMBER(G80),Reference!G$9-G80,"")</f>
        <v>-54.6345350143695</v>
      </c>
      <c r="H88" s="17" t="n">
        <f aca="false">IF(ISNUMBER(H80),Reference!H$9-H80,"")</f>
        <v>-48.4484005645457</v>
      </c>
      <c r="I88" s="17" t="n">
        <f aca="false">IF(ISNUMBER(I80),Reference!I$9-I80,"")</f>
        <v>-25.9043400034943</v>
      </c>
      <c r="J88" s="17" t="n">
        <f aca="false">IF(ISNUMBER(J80),Reference!J$9-J80,"")</f>
        <v>76.5253365792956</v>
      </c>
      <c r="K88" s="17" t="n">
        <f aca="false">IF(COUNT(B88:J88)=0,"",MIN(B88:J88))</f>
        <v>-54.6345350143695</v>
      </c>
      <c r="L88" s="8" t="str">
        <f aca="false">IF(COUNT(B88:J88)&lt;9,"",IF(K88&gt;=0,"yes","no"))</f>
        <v>no</v>
      </c>
    </row>
    <row r="89" customFormat="false" ht="15" hidden="false" customHeight="false" outlineLevel="0" collapsed="false">
      <c r="A89" s="17" t="n">
        <f aca="false">A81</f>
        <v>2</v>
      </c>
      <c r="B89" s="17" t="n">
        <f aca="false">IF(ISNUMBER(B81),Reference!B$9-B81,"")</f>
        <v>-10.035049690606</v>
      </c>
      <c r="C89" s="17" t="n">
        <f aca="false">IF(ISNUMBER(C81),Reference!C$9-C81,"")</f>
        <v>-35.8575220915729</v>
      </c>
      <c r="D89" s="17" t="n">
        <f aca="false">IF(ISNUMBER(D81),Reference!D$9-D81,"")</f>
        <v>-35.6847855759894</v>
      </c>
      <c r="E89" s="17" t="n">
        <f aca="false">IF(ISNUMBER(E81),Reference!E$9-E81,"")</f>
        <v>-43.1325997742307</v>
      </c>
      <c r="F89" s="17" t="n">
        <f aca="false">IF(ISNUMBER(F81),Reference!F$9-F81,"")</f>
        <v>-46.3813001424937</v>
      </c>
      <c r="G89" s="17" t="n">
        <f aca="false">IF(ISNUMBER(G81),Reference!G$9-G81,"")</f>
        <v>-44.9562493785349</v>
      </c>
      <c r="H89" s="17" t="n">
        <f aca="false">IF(ISNUMBER(H81),Reference!H$9-H81,"")</f>
        <v>-32.7638552860336</v>
      </c>
      <c r="I89" s="17" t="n">
        <f aca="false">IF(ISNUMBER(I81),Reference!I$9-I81,"")</f>
        <v>12.8863895209886</v>
      </c>
      <c r="J89" s="17" t="n">
        <f aca="false">IF(ISNUMBER(J81),Reference!J$9-J81,"")</f>
        <v>199.427980984176</v>
      </c>
      <c r="K89" s="17" t="n">
        <f aca="false">IF(COUNT(B89:J89)=0,"",MIN(B89:J89))</f>
        <v>-46.3813001424937</v>
      </c>
      <c r="L89" s="8" t="str">
        <f aca="false">IF(COUNT(B89:J89)&lt;9,"",IF(K89&gt;=0,"yes","no"))</f>
        <v>no</v>
      </c>
    </row>
    <row r="90" customFormat="false" ht="15" hidden="false" customHeight="false" outlineLevel="0" collapsed="false">
      <c r="A90" s="17" t="n">
        <f aca="false">A82</f>
        <v>3</v>
      </c>
      <c r="B90" s="17" t="n">
        <f aca="false">IF(ISNUMBER(B82),Reference!B$9-B82,"")</f>
        <v>-6.4811955102056</v>
      </c>
      <c r="C90" s="17" t="n">
        <f aca="false">IF(ISNUMBER(C82),Reference!C$9-C82,"")</f>
        <v>-32.2140075076204</v>
      </c>
      <c r="D90" s="17" t="n">
        <f aca="false">IF(ISNUMBER(D82),Reference!D$9-D82,"")</f>
        <v>-31.7520101255805</v>
      </c>
      <c r="E90" s="17" t="n">
        <f aca="false">IF(ISNUMBER(E82),Reference!E$9-E82,"")</f>
        <v>-38.5674072522266</v>
      </c>
      <c r="F90" s="17" t="n">
        <f aca="false">IF(ISNUMBER(F82),Reference!F$9-F82,"")</f>
        <v>-40.9316128569861</v>
      </c>
      <c r="G90" s="17" t="n">
        <f aca="false">IF(ISNUMBER(G82),Reference!G$9-G82,"")</f>
        <v>-37.7767384748663</v>
      </c>
      <c r="H90" s="17" t="n">
        <f aca="false">IF(ISNUMBER(H82),Reference!H$9-H82,"")</f>
        <v>-19.5780847396876</v>
      </c>
      <c r="I90" s="17" t="n">
        <f aca="false">IF(ISNUMBER(I82),Reference!I$9-I82,"")</f>
        <v>49.1783443133055</v>
      </c>
      <c r="J90" s="17" t="n">
        <f aca="false">IF(ISNUMBER(J82),Reference!J$9-J82,"")</f>
        <v>319.831850656891</v>
      </c>
      <c r="K90" s="17" t="n">
        <f aca="false">IF(COUNT(B90:J90)=0,"",MIN(B90:J90))</f>
        <v>-40.9316128569861</v>
      </c>
      <c r="L90" s="8" t="str">
        <f aca="false">IF(COUNT(B90:J90)&lt;9,"",IF(K90&gt;=0,"yes","no"))</f>
        <v>no</v>
      </c>
    </row>
    <row r="91" customFormat="false" ht="15" hidden="false" customHeight="false" outlineLevel="0" collapsed="false">
      <c r="A91" s="17" t="n">
        <f aca="false">A83</f>
        <v>5</v>
      </c>
      <c r="B91" s="17" t="n">
        <f aca="false">IF(ISNUMBER(B83),Reference!B$9-B83,"")</f>
        <v>-1.98016251930493</v>
      </c>
      <c r="C91" s="17" t="n">
        <f aca="false">IF(ISNUMBER(C83),Reference!C$9-C83,"")</f>
        <v>-27.5336537096156</v>
      </c>
      <c r="D91" s="17" t="n">
        <f aca="false">IF(ISNUMBER(D83),Reference!D$9-D83,"")</f>
        <v>-26.4931345946631</v>
      </c>
      <c r="E91" s="17" t="n">
        <f aca="false">IF(ISNUMBER(E83),Reference!E$9-E83,"")</f>
        <v>-32.0436975781185</v>
      </c>
      <c r="F91" s="17" t="n">
        <f aca="false">IF(ISNUMBER(F83),Reference!F$9-F83,"")</f>
        <v>-32.6389136558709</v>
      </c>
      <c r="G91" s="17" t="n">
        <f aca="false">IF(ISNUMBER(G83),Reference!G$9-G83,"")</f>
        <v>-26.0243920374291</v>
      </c>
      <c r="H91" s="17" t="n">
        <f aca="false">IF(ISNUMBER(H83),Reference!H$9-H83,"")</f>
        <v>4.18678098310437</v>
      </c>
      <c r="I91" s="17" t="n">
        <f aca="false">IF(ISNUMBER(I83),Reference!I$9-I83,"")</f>
        <v>119.155578528039</v>
      </c>
      <c r="J91" s="17" t="n">
        <f aca="false">IF(ISNUMBER(J83),Reference!J$9-J83,"")</f>
        <v>558.03291463242</v>
      </c>
      <c r="K91" s="17" t="n">
        <f aca="false">IF(COUNT(B91:J91)=0,"",MIN(B91:J91))</f>
        <v>-32.6389136558709</v>
      </c>
      <c r="L91" s="8" t="str">
        <f aca="false">IF(COUNT(B91:J91)&lt;9,"",IF(K91&gt;=0,"yes","no"))</f>
        <v>no</v>
      </c>
    </row>
    <row r="92" customFormat="false" ht="15" hidden="false" customHeight="false" outlineLevel="0" collapsed="false">
      <c r="A92" s="17" t="n">
        <f aca="false">A84</f>
        <v>10</v>
      </c>
      <c r="B92" s="17" t="n">
        <f aca="false">IF(ISNUMBER(B84),Reference!B$9-B84,"")</f>
        <v>4.20058239040856</v>
      </c>
      <c r="C92" s="17" t="n">
        <f aca="false">IF(ISNUMBER(C84),Reference!C$9-C84,"")</f>
        <v>-20.9046067821417</v>
      </c>
      <c r="D92" s="17" t="n">
        <f aca="false">IF(ISNUMBER(D84),Reference!D$9-D84,"")</f>
        <v>-18.4177833349075</v>
      </c>
      <c r="E92" s="17" t="n">
        <f aca="false">IF(ISNUMBER(E84),Reference!E$9-E84,"")</f>
        <v>-20.8062609603866</v>
      </c>
      <c r="F92" s="17" t="n">
        <f aca="false">IF(ISNUMBER(F84),Reference!F$9-F84,"")</f>
        <v>-16.9790032206213</v>
      </c>
      <c r="G92" s="17" t="n">
        <f aca="false">IF(ISNUMBER(G84),Reference!G$9-G84,"")</f>
        <v>-1.7153635113745</v>
      </c>
      <c r="H92" s="17" t="n">
        <f aca="false">IF(ISNUMBER(H84),Reference!H$9-H84,"")</f>
        <v>58.5271077225461</v>
      </c>
      <c r="I92" s="17" t="n">
        <f aca="false">IF(ISNUMBER(I84),Reference!I$9-I84,"")</f>
        <v>289.026826497335</v>
      </c>
      <c r="J92" s="17" t="n">
        <f aca="false">IF(ISNUMBER(J84),Reference!J$9-J84,"")</f>
        <v>1148.46373700371</v>
      </c>
      <c r="K92" s="17" t="n">
        <f aca="false">IF(COUNT(B92:J92)=0,"",MIN(B92:J92))</f>
        <v>-20.9046067821417</v>
      </c>
      <c r="L92" s="8" t="str">
        <f aca="false">IF(COUNT(B92:J92)&lt;9,"",IF(K92&gt;=0,"yes","no"))</f>
        <v>no</v>
      </c>
    </row>
    <row r="94" customFormat="false" ht="15" hidden="false" customHeight="false" outlineLevel="0" collapsed="false">
      <c r="A94" s="26" t="str">
        <f aca="false">"Class: "&amp;Inputs!A25&amp;"   Character: "&amp;Inputs!A33</f>
        <v>Class: Medium (2-4 subs)   Character: Very bass heavy</v>
      </c>
    </row>
    <row r="95" customFormat="false" ht="15" hidden="false" customHeight="false" outlineLevel="0" collapsed="false">
      <c r="A95" s="7" t="s">
        <v>120</v>
      </c>
    </row>
    <row r="96" customFormat="false" ht="23.85" hidden="false" customHeight="false" outlineLevel="0" collapsed="false">
      <c r="A96" s="13" t="s">
        <v>114</v>
      </c>
      <c r="B96" s="13" t="s">
        <v>64</v>
      </c>
      <c r="C96" s="13" t="s">
        <v>65</v>
      </c>
      <c r="D96" s="13" t="s">
        <v>66</v>
      </c>
      <c r="E96" s="13" t="s">
        <v>67</v>
      </c>
      <c r="F96" s="13" t="s">
        <v>68</v>
      </c>
      <c r="G96" s="13" t="s">
        <v>69</v>
      </c>
      <c r="H96" s="13" t="s">
        <v>70</v>
      </c>
      <c r="I96" s="13" t="s">
        <v>71</v>
      </c>
      <c r="J96" s="13" t="s">
        <v>72</v>
      </c>
      <c r="K96" s="13" t="s">
        <v>121</v>
      </c>
      <c r="L96" s="13" t="s">
        <v>122</v>
      </c>
      <c r="M96" s="13" t="s">
        <v>86</v>
      </c>
      <c r="N96" s="13" t="s">
        <v>123</v>
      </c>
    </row>
    <row r="97" customFormat="false" ht="15" hidden="false" customHeight="false" outlineLevel="0" collapsed="false">
      <c r="A97" s="20" t="n">
        <f aca="false">Inputs!$A$15</f>
        <v>0.5</v>
      </c>
      <c r="B97" s="17" t="n">
        <f aca="false">IF(OR(Inputs!$B$25="",Inputs!$C$25=""),"",Inputs!B$33+Inputs!$B$25-Inputs!$K$33-20*LOG10($A97*1000/Inputs!$C$25)-Reference!B$10*($A97*1000-Inputs!$C$25)/1000)</f>
        <v>83.8135334432508</v>
      </c>
      <c r="C97" s="17" t="n">
        <f aca="false">IF(OR(Inputs!$B$25="",Inputs!$C$25=""),"",Inputs!C$33+Inputs!$B$25-Inputs!$K$33-20*LOG10($A97*1000/Inputs!$C$25)-Reference!C$10*($A97*1000-Inputs!$C$25)/1000)</f>
        <v>88.7704964495458</v>
      </c>
      <c r="D97" s="17" t="n">
        <f aca="false">IF(OR(Inputs!$B$25="",Inputs!$C$25=""),"",Inputs!D$33+Inputs!$B$25-Inputs!$K$33-20*LOG10($A97*1000/Inputs!$C$25)-Reference!D$10*($A97*1000-Inputs!$C$25)/1000)</f>
        <v>73.6316512336467</v>
      </c>
      <c r="E97" s="17" t="n">
        <f aca="false">IF(OR(Inputs!$B$25="",Inputs!$C$25=""),"",Inputs!E$33+Inputs!$B$25-Inputs!$K$33-20*LOG10($A97*1000/Inputs!$C$25)-Reference!E$10*($A97*1000-Inputs!$C$25)/1000)</f>
        <v>68.328091039281</v>
      </c>
      <c r="F97" s="17" t="n">
        <f aca="false">IF(OR(Inputs!$B$25="",Inputs!$C$25=""),"",Inputs!F$33+Inputs!$B$25-Inputs!$K$33-20*LOG10($A97*1000/Inputs!$C$25)-Reference!F$10*($A97*1000-Inputs!$C$25)/1000)</f>
        <v>65.9035335527993</v>
      </c>
      <c r="G97" s="17" t="n">
        <f aca="false">IF(OR(Inputs!$B$25="",Inputs!$C$25=""),"",Inputs!G$33+Inputs!$B$25-Inputs!$K$33-20*LOG10($A97*1000/Inputs!$C$25)-Reference!G$10*($A97*1000-Inputs!$C$25)/1000)</f>
        <v>64.073218216082</v>
      </c>
      <c r="H97" s="17" t="n">
        <f aca="false">IF(OR(Inputs!$B$25="",Inputs!$C$25=""),"",Inputs!H$33+Inputs!$B$25-Inputs!$K$33-20*LOG10($A97*1000/Inputs!$C$25)-Reference!H$10*($A97*1000-Inputs!$C$25)/1000)</f>
        <v>57.1902135875968</v>
      </c>
      <c r="I97" s="17" t="n">
        <f aca="false">IF(OR(Inputs!$B$25="",Inputs!$C$25=""),"",Inputs!I$33+Inputs!$B$25-Inputs!$K$33-20*LOG10($A97*1000/Inputs!$C$25)-Reference!I$10*($A97*1000-Inputs!$C$25)/1000)</f>
        <v>42.0992451495308</v>
      </c>
      <c r="J97" s="17" t="n">
        <f aca="false">IF(OR(Inputs!$B$25="",Inputs!$C$25=""),"",Inputs!J$33+Inputs!$B$25-Inputs!$K$33-20*LOG10($A97*1000/Inputs!$C$25)-Reference!J$10*($A97*1000-Inputs!$C$25)/1000)</f>
        <v>-0.27447399306012</v>
      </c>
      <c r="K97" s="17" t="n">
        <f aca="false">IF(COUNT(B97:J97)&lt;9,"",10*LOG10(SUMPRODUCT(10^((B97:J97+Reference!$B$7:$J$7)/10))))</f>
        <v>69.2786590767045</v>
      </c>
      <c r="L97" s="17" t="n">
        <f aca="false">IF(COUNT(B97:J97)&lt;9,"",10*LOG10(SUMPRODUCT(10^((B97:J97+Reference!$B$8:$J$8)/10))))</f>
        <v>88.9381238624238</v>
      </c>
      <c r="M97" s="17" t="n">
        <f aca="false">IF(ISNUMBER(K97),Inputs!$B$12-K97,"")</f>
        <v>-34.2786590767045</v>
      </c>
      <c r="N97" s="8" t="str">
        <f aca="false">IF(ISNUMBER(M97),IF(M97&gt;=0,"yes","no"),"")</f>
        <v>no</v>
      </c>
    </row>
    <row r="98" customFormat="false" ht="15" hidden="false" customHeight="false" outlineLevel="0" collapsed="false">
      <c r="A98" s="20" t="n">
        <f aca="false">Inputs!$A$16</f>
        <v>1</v>
      </c>
      <c r="B98" s="17" t="n">
        <f aca="false">IF(OR(Inputs!$B$25="",Inputs!$C$25=""),"",Inputs!B$33+Inputs!$B$25-Inputs!$K$33-20*LOG10($A98*1000/Inputs!$C$25)-Reference!B$10*($A98*1000-Inputs!$C$25)/1000)</f>
        <v>77.7769190303277</v>
      </c>
      <c r="C98" s="17" t="n">
        <f aca="false">IF(OR(Inputs!$B$25="",Inputs!$C$25=""),"",Inputs!C$33+Inputs!$B$25-Inputs!$K$33-20*LOG10($A98*1000/Inputs!$C$25)-Reference!C$10*($A98*1000-Inputs!$C$25)/1000)</f>
        <v>82.6890518348467</v>
      </c>
      <c r="D98" s="17" t="n">
        <f aca="false">IF(OR(Inputs!$B$25="",Inputs!$C$25=""),"",Inputs!D$33+Inputs!$B$25-Inputs!$K$33-20*LOG10($A98*1000/Inputs!$C$25)-Reference!D$10*($A98*1000-Inputs!$C$25)/1000)</f>
        <v>67.4055761857195</v>
      </c>
      <c r="E98" s="17" t="n">
        <f aca="false">IF(OR(Inputs!$B$25="",Inputs!$C$25=""),"",Inputs!E$33+Inputs!$B$25-Inputs!$K$33-20*LOG10($A98*1000/Inputs!$C$25)-Reference!E$10*($A98*1000-Inputs!$C$25)/1000)</f>
        <v>61.7858074555561</v>
      </c>
      <c r="F98" s="17" t="n">
        <f aca="false">IF(OR(Inputs!$B$25="",Inputs!$C$25=""),"",Inputs!F$33+Inputs!$B$25-Inputs!$K$33-20*LOG10($A98*1000/Inputs!$C$25)-Reference!F$10*($A98*1000-Inputs!$C$25)/1000)</f>
        <v>58.9190025873227</v>
      </c>
      <c r="G98" s="17" t="n">
        <f aca="false">IF(OR(Inputs!$B$25="",Inputs!$C$25=""),"",Inputs!G$33+Inputs!$B$25-Inputs!$K$33-20*LOG10($A98*1000/Inputs!$C$25)-Reference!G$10*($A98*1000-Inputs!$C$25)/1000)</f>
        <v>56.2237754415249</v>
      </c>
      <c r="H98" s="17" t="n">
        <f aca="false">IF(OR(Inputs!$B$25="",Inputs!$C$25=""),"",Inputs!H$33+Inputs!$B$25-Inputs!$K$33-20*LOG10($A98*1000/Inputs!$C$25)-Reference!H$10*($A98*1000-Inputs!$C$25)/1000)</f>
        <v>46.337640991701</v>
      </c>
      <c r="I98" s="17" t="n">
        <f aca="false">IF(OR(Inputs!$B$25="",Inputs!$C$25=""),"",Inputs!I$33+Inputs!$B$25-Inputs!$K$33-20*LOG10($A98*1000/Inputs!$C$25)-Reference!I$10*($A98*1000-Inputs!$C$25)/1000)</f>
        <v>19.6935804306496</v>
      </c>
      <c r="J98" s="17" t="n">
        <f aca="false">IF(OR(Inputs!$B$25="",Inputs!$C$25=""),"",Inputs!J$33+Inputs!$B$25-Inputs!$K$33-20*LOG10($A98*1000/Inputs!$C$25)-Reference!J$10*($A98*1000-Inputs!$C$25)/1000)</f>
        <v>-64.7360961521403</v>
      </c>
      <c r="K98" s="17" t="n">
        <f aca="false">IF(COUNT(B98:J98)&lt;9,"",10*LOG10(SUMPRODUCT(10^((B98:J98+Reference!$B$7:$J$7)/10))))</f>
        <v>62.1614513833103</v>
      </c>
      <c r="L98" s="17" t="n">
        <f aca="false">IF(COUNT(B98:J98)&lt;9,"",10*LOG10(SUMPRODUCT(10^((B98:J98+Reference!$B$8:$J$8)/10))))</f>
        <v>82.8450873150961</v>
      </c>
      <c r="M98" s="17" t="n">
        <f aca="false">IF(ISNUMBER(K98),Inputs!$B$12-K98,"")</f>
        <v>-27.1614513833103</v>
      </c>
      <c r="N98" s="8" t="str">
        <f aca="false">IF(ISNUMBER(M98),IF(M98&gt;=0,"yes","no"),"")</f>
        <v>no</v>
      </c>
    </row>
    <row r="99" customFormat="false" ht="15" hidden="false" customHeight="false" outlineLevel="0" collapsed="false">
      <c r="A99" s="20" t="n">
        <f aca="false">Inputs!$A$17</f>
        <v>2</v>
      </c>
      <c r="B99" s="17" t="n">
        <f aca="false">IF(OR(Inputs!$B$25="",Inputs!$C$25=""),"",Inputs!B$33+Inputs!$B$25-Inputs!$K$33-20*LOG10($A99*1000/Inputs!$C$25)-Reference!B$10*($A99*1000-Inputs!$C$25)/1000)</f>
        <v>71.7242901177613</v>
      </c>
      <c r="C99" s="17" t="n">
        <f aca="false">IF(OR(Inputs!$B$25="",Inputs!$C$25=""),"",Inputs!C$33+Inputs!$B$25-Inputs!$K$33-20*LOG10($A99*1000/Inputs!$C$25)-Reference!C$10*($A99*1000-Inputs!$C$25)/1000)</f>
        <v>76.5467625187282</v>
      </c>
      <c r="D99" s="17" t="n">
        <f aca="false">IF(OR(Inputs!$B$25="",Inputs!$C$25=""),"",Inputs!D$33+Inputs!$B$25-Inputs!$K$33-20*LOG10($A99*1000/Inputs!$C$25)-Reference!D$10*($A99*1000-Inputs!$C$25)/1000)</f>
        <v>60.9740260031447</v>
      </c>
      <c r="E99" s="17" t="n">
        <f aca="false">IF(OR(Inputs!$B$25="",Inputs!$C$25=""),"",Inputs!E$33+Inputs!$B$25-Inputs!$K$33-20*LOG10($A99*1000/Inputs!$C$25)-Reference!E$10*($A99*1000-Inputs!$C$25)/1000)</f>
        <v>54.721840201386</v>
      </c>
      <c r="F99" s="17" t="n">
        <f aca="false">IF(OR(Inputs!$B$25="",Inputs!$C$25=""),"",Inputs!F$33+Inputs!$B$25-Inputs!$K$33-20*LOG10($A99*1000/Inputs!$C$25)-Reference!F$10*($A99*1000-Inputs!$C$25)/1000)</f>
        <v>50.970540569649</v>
      </c>
      <c r="G99" s="17" t="n">
        <f aca="false">IF(OR(Inputs!$B$25="",Inputs!$C$25=""),"",Inputs!G$33+Inputs!$B$25-Inputs!$K$33-20*LOG10($A99*1000/Inputs!$C$25)-Reference!G$10*($A99*1000-Inputs!$C$25)/1000)</f>
        <v>46.5454898056902</v>
      </c>
      <c r="H99" s="17" t="n">
        <f aca="false">IF(OR(Inputs!$B$25="",Inputs!$C$25=""),"",Inputs!H$33+Inputs!$B$25-Inputs!$K$33-20*LOG10($A99*1000/Inputs!$C$25)-Reference!H$10*($A99*1000-Inputs!$C$25)/1000)</f>
        <v>30.653095713189</v>
      </c>
      <c r="I99" s="17" t="n">
        <f aca="false">IF(OR(Inputs!$B$25="",Inputs!$C$25=""),"",Inputs!I$33+Inputs!$B$25-Inputs!$K$33-20*LOG10($A99*1000/Inputs!$C$25)-Reference!I$10*($A99*1000-Inputs!$C$25)/1000)</f>
        <v>-19.0971490938333</v>
      </c>
      <c r="J99" s="17" t="n">
        <f aca="false">IF(OR(Inputs!$B$25="",Inputs!$C$25=""),"",Inputs!J$33+Inputs!$B$25-Inputs!$K$33-20*LOG10($A99*1000/Inputs!$C$25)-Reference!J$10*($A99*1000-Inputs!$C$25)/1000)</f>
        <v>-187.638740557021</v>
      </c>
      <c r="K99" s="17" t="n">
        <f aca="false">IF(COUNT(B99:J99)&lt;9,"",10*LOG10(SUMPRODUCT(10^((B99:J99+Reference!$B$7:$J$7)/10))))</f>
        <v>54.5969590329494</v>
      </c>
      <c r="L99" s="17" t="n">
        <f aca="false">IF(COUNT(B99:J99)&lt;9,"",10*LOG10(SUMPRODUCT(10^((B99:J99+Reference!$B$8:$J$8)/10))))</f>
        <v>76.690695160323</v>
      </c>
      <c r="M99" s="17" t="n">
        <f aca="false">IF(ISNUMBER(K99),Inputs!$B$12-K99,"")</f>
        <v>-19.5969590329494</v>
      </c>
      <c r="N99" s="8" t="str">
        <f aca="false">IF(ISNUMBER(M99),IF(M99&gt;=0,"yes","no"),"")</f>
        <v>no</v>
      </c>
    </row>
    <row r="100" customFormat="false" ht="15" hidden="false" customHeight="false" outlineLevel="0" collapsed="false">
      <c r="A100" s="20" t="n">
        <f aca="false">Inputs!$A$18</f>
        <v>3</v>
      </c>
      <c r="B100" s="17" t="n">
        <f aca="false">IF(OR(Inputs!$B$25="",Inputs!$C$25=""),"",Inputs!B$33+Inputs!$B$25-Inputs!$K$33-20*LOG10($A100*1000/Inputs!$C$25)-Reference!B$10*($A100*1000-Inputs!$C$25)/1000)</f>
        <v>68.1704359373609</v>
      </c>
      <c r="C100" s="17" t="n">
        <f aca="false">IF(OR(Inputs!$B$25="",Inputs!$C$25=""),"",Inputs!C$33+Inputs!$B$25-Inputs!$K$33-20*LOG10($A100*1000/Inputs!$C$25)-Reference!C$10*($A100*1000-Inputs!$C$25)/1000)</f>
        <v>72.9032479347758</v>
      </c>
      <c r="D100" s="17" t="n">
        <f aca="false">IF(OR(Inputs!$B$25="",Inputs!$C$25=""),"",Inputs!D$33+Inputs!$B$25-Inputs!$K$33-20*LOG10($A100*1000/Inputs!$C$25)-Reference!D$10*($A100*1000-Inputs!$C$25)/1000)</f>
        <v>57.0412505527359</v>
      </c>
      <c r="E100" s="17" t="n">
        <f aca="false">IF(OR(Inputs!$B$25="",Inputs!$C$25=""),"",Inputs!E$33+Inputs!$B$25-Inputs!$K$33-20*LOG10($A100*1000/Inputs!$C$25)-Reference!E$10*($A100*1000-Inputs!$C$25)/1000)</f>
        <v>50.1566476793819</v>
      </c>
      <c r="F100" s="17" t="n">
        <f aca="false">IF(OR(Inputs!$B$25="",Inputs!$C$25=""),"",Inputs!F$33+Inputs!$B$25-Inputs!$K$33-20*LOG10($A100*1000/Inputs!$C$25)-Reference!F$10*($A100*1000-Inputs!$C$25)/1000)</f>
        <v>45.5208532841414</v>
      </c>
      <c r="G100" s="17" t="n">
        <f aca="false">IF(OR(Inputs!$B$25="",Inputs!$C$25=""),"",Inputs!G$33+Inputs!$B$25-Inputs!$K$33-20*LOG10($A100*1000/Inputs!$C$25)-Reference!G$10*($A100*1000-Inputs!$C$25)/1000)</f>
        <v>39.3659789020216</v>
      </c>
      <c r="H100" s="17" t="n">
        <f aca="false">IF(OR(Inputs!$B$25="",Inputs!$C$25=""),"",Inputs!H$33+Inputs!$B$25-Inputs!$K$33-20*LOG10($A100*1000/Inputs!$C$25)-Reference!H$10*($A100*1000-Inputs!$C$25)/1000)</f>
        <v>17.4673251668429</v>
      </c>
      <c r="I100" s="17" t="n">
        <f aca="false">IF(OR(Inputs!$B$25="",Inputs!$C$25=""),"",Inputs!I$33+Inputs!$B$25-Inputs!$K$33-20*LOG10($A100*1000/Inputs!$C$25)-Reference!I$10*($A100*1000-Inputs!$C$25)/1000)</f>
        <v>-55.3891038861501</v>
      </c>
      <c r="J100" s="17" t="n">
        <f aca="false">IF(OR(Inputs!$B$25="",Inputs!$C$25=""),"",Inputs!J$33+Inputs!$B$25-Inputs!$K$33-20*LOG10($A100*1000/Inputs!$C$25)-Reference!J$10*($A100*1000-Inputs!$C$25)/1000)</f>
        <v>-308.042610229736</v>
      </c>
      <c r="K100" s="17" t="n">
        <f aca="false">IF(COUNT(B100:J100)&lt;9,"",10*LOG10(SUMPRODUCT(10^((B100:J100+Reference!$B$7:$J$7)/10))))</f>
        <v>50.0031384524131</v>
      </c>
      <c r="L100" s="17" t="n">
        <f aca="false">IF(COUNT(B100:J100)&lt;9,"",10*LOG10(SUMPRODUCT(10^((B100:J100+Reference!$B$8:$J$8)/10))))</f>
        <v>73.0428148772966</v>
      </c>
      <c r="M100" s="17" t="n">
        <f aca="false">IF(ISNUMBER(K100),Inputs!$B$12-K100,"")</f>
        <v>-15.0031384524131</v>
      </c>
      <c r="N100" s="8" t="str">
        <f aca="false">IF(ISNUMBER(M100),IF(M100&gt;=0,"yes","no"),"")</f>
        <v>no</v>
      </c>
    </row>
    <row r="101" customFormat="false" ht="15" hidden="false" customHeight="false" outlineLevel="0" collapsed="false">
      <c r="A101" s="20" t="n">
        <f aca="false">Inputs!$A$19</f>
        <v>5</v>
      </c>
      <c r="B101" s="17" t="n">
        <f aca="false">IF(OR(Inputs!$B$25="",Inputs!$C$25=""),"",Inputs!B$33+Inputs!$B$25-Inputs!$K$33-20*LOG10($A101*1000/Inputs!$C$25)-Reference!B$10*($A101*1000-Inputs!$C$25)/1000)</f>
        <v>63.6694029464603</v>
      </c>
      <c r="C101" s="17" t="n">
        <f aca="false">IF(OR(Inputs!$B$25="",Inputs!$C$25=""),"",Inputs!C$33+Inputs!$B$25-Inputs!$K$33-20*LOG10($A101*1000/Inputs!$C$25)-Reference!C$10*($A101*1000-Inputs!$C$25)/1000)</f>
        <v>68.2228941367709</v>
      </c>
      <c r="D101" s="17" t="n">
        <f aca="false">IF(OR(Inputs!$B$25="",Inputs!$C$25=""),"",Inputs!D$33+Inputs!$B$25-Inputs!$K$33-20*LOG10($A101*1000/Inputs!$C$25)-Reference!D$10*($A101*1000-Inputs!$C$25)/1000)</f>
        <v>51.7823750218184</v>
      </c>
      <c r="E101" s="17" t="n">
        <f aca="false">IF(OR(Inputs!$B$25="",Inputs!$C$25=""),"",Inputs!E$33+Inputs!$B$25-Inputs!$K$33-20*LOG10($A101*1000/Inputs!$C$25)-Reference!E$10*($A101*1000-Inputs!$C$25)/1000)</f>
        <v>43.6329380052739</v>
      </c>
      <c r="F101" s="17" t="n">
        <f aca="false">IF(OR(Inputs!$B$25="",Inputs!$C$25=""),"",Inputs!F$33+Inputs!$B$25-Inputs!$K$33-20*LOG10($A101*1000/Inputs!$C$25)-Reference!F$10*($A101*1000-Inputs!$C$25)/1000)</f>
        <v>37.2281540830263</v>
      </c>
      <c r="G101" s="17" t="n">
        <f aca="false">IF(OR(Inputs!$B$25="",Inputs!$C$25=""),"",Inputs!G$33+Inputs!$B$25-Inputs!$K$33-20*LOG10($A101*1000/Inputs!$C$25)-Reference!G$10*($A101*1000-Inputs!$C$25)/1000)</f>
        <v>27.6136324645845</v>
      </c>
      <c r="H101" s="17" t="n">
        <f aca="false">IF(OR(Inputs!$B$25="",Inputs!$C$25=""),"",Inputs!H$33+Inputs!$B$25-Inputs!$K$33-20*LOG10($A101*1000/Inputs!$C$25)-Reference!H$10*($A101*1000-Inputs!$C$25)/1000)</f>
        <v>-6.29754055594903</v>
      </c>
      <c r="I101" s="17" t="n">
        <f aca="false">IF(OR(Inputs!$B$25="",Inputs!$C$25=""),"",Inputs!I$33+Inputs!$B$25-Inputs!$K$33-20*LOG10($A101*1000/Inputs!$C$25)-Reference!I$10*($A101*1000-Inputs!$C$25)/1000)</f>
        <v>-125.366338100884</v>
      </c>
      <c r="J101" s="17" t="n">
        <f aca="false">IF(OR(Inputs!$B$25="",Inputs!$C$25=""),"",Inputs!J$33+Inputs!$B$25-Inputs!$K$33-20*LOG10($A101*1000/Inputs!$C$25)-Reference!J$10*($A101*1000-Inputs!$C$25)/1000)</f>
        <v>-546.243674205265</v>
      </c>
      <c r="K101" s="17" t="n">
        <f aca="false">IF(COUNT(B101:J101)&lt;9,"",10*LOG10(SUMPRODUCT(10^((B101:J101+Reference!$B$7:$J$7)/10))))</f>
        <v>44.1817535786271</v>
      </c>
      <c r="L101" s="17" t="n">
        <f aca="false">IF(COUNT(B101:J101)&lt;9,"",10*LOG10(SUMPRODUCT(10^((B101:J101+Reference!$B$8:$J$8)/10))))</f>
        <v>68.365776041657</v>
      </c>
      <c r="M101" s="17" t="n">
        <f aca="false">IF(ISNUMBER(K101),Inputs!$B$12-K101,"")</f>
        <v>-9.18175357862708</v>
      </c>
      <c r="N101" s="8" t="str">
        <f aca="false">IF(ISNUMBER(M101),IF(M101&gt;=0,"yes","no"),"")</f>
        <v>no</v>
      </c>
    </row>
    <row r="102" customFormat="false" ht="15" hidden="false" customHeight="false" outlineLevel="0" collapsed="false">
      <c r="A102" s="20" t="n">
        <f aca="false">Inputs!$A$20</f>
        <v>10</v>
      </c>
      <c r="B102" s="17" t="n">
        <f aca="false">IF(OR(Inputs!$B$25="",Inputs!$C$25=""),"",Inputs!B$33+Inputs!$B$25-Inputs!$K$33-20*LOG10($A102*1000/Inputs!$C$25)-Reference!B$10*($A102*1000-Inputs!$C$25)/1000)</f>
        <v>57.4886580367468</v>
      </c>
      <c r="C102" s="17" t="n">
        <f aca="false">IF(OR(Inputs!$B$25="",Inputs!$C$25=""),"",Inputs!C$33+Inputs!$B$25-Inputs!$K$33-20*LOG10($A102*1000/Inputs!$C$25)-Reference!C$10*($A102*1000-Inputs!$C$25)/1000)</f>
        <v>61.5938472092971</v>
      </c>
      <c r="D102" s="17" t="n">
        <f aca="false">IF(OR(Inputs!$B$25="",Inputs!$C$25=""),"",Inputs!D$33+Inputs!$B$25-Inputs!$K$33-20*LOG10($A102*1000/Inputs!$C$25)-Reference!D$10*($A102*1000-Inputs!$C$25)/1000)</f>
        <v>43.7070237620629</v>
      </c>
      <c r="E102" s="17" t="n">
        <f aca="false">IF(OR(Inputs!$B$25="",Inputs!$C$25=""),"",Inputs!E$33+Inputs!$B$25-Inputs!$K$33-20*LOG10($A102*1000/Inputs!$C$25)-Reference!E$10*($A102*1000-Inputs!$C$25)/1000)</f>
        <v>32.3955013875419</v>
      </c>
      <c r="F102" s="17" t="n">
        <f aca="false">IF(OR(Inputs!$B$25="",Inputs!$C$25=""),"",Inputs!F$33+Inputs!$B$25-Inputs!$K$33-20*LOG10($A102*1000/Inputs!$C$25)-Reference!F$10*($A102*1000-Inputs!$C$25)/1000)</f>
        <v>21.5682436477766</v>
      </c>
      <c r="G102" s="17" t="n">
        <f aca="false">IF(OR(Inputs!$B$25="",Inputs!$C$25=""),"",Inputs!G$33+Inputs!$B$25-Inputs!$K$33-20*LOG10($A102*1000/Inputs!$C$25)-Reference!G$10*($A102*1000-Inputs!$C$25)/1000)</f>
        <v>3.30460393852984</v>
      </c>
      <c r="H102" s="17" t="n">
        <f aca="false">IF(OR(Inputs!$B$25="",Inputs!$C$25=""),"",Inputs!H$33+Inputs!$B$25-Inputs!$K$33-20*LOG10($A102*1000/Inputs!$C$25)-Reference!H$10*($A102*1000-Inputs!$C$25)/1000)</f>
        <v>-60.6378672953907</v>
      </c>
      <c r="I102" s="17" t="n">
        <f aca="false">IF(OR(Inputs!$B$25="",Inputs!$C$25=""),"",Inputs!I$33+Inputs!$B$25-Inputs!$K$33-20*LOG10($A102*1000/Inputs!$C$25)-Reference!I$10*($A102*1000-Inputs!$C$25)/1000)</f>
        <v>-295.23758607018</v>
      </c>
      <c r="J102" s="17" t="n">
        <f aca="false">IF(OR(Inputs!$B$25="",Inputs!$C$25=""),"",Inputs!J$33+Inputs!$B$25-Inputs!$K$33-20*LOG10($A102*1000/Inputs!$C$25)-Reference!J$10*($A102*1000-Inputs!$C$25)/1000)</f>
        <v>-1136.67449657655</v>
      </c>
      <c r="K102" s="17" t="n">
        <f aca="false">IF(COUNT(B102:J102)&lt;9,"",10*LOG10(SUMPRODUCT(10^((B102:J102+Reference!$B$7:$J$7)/10))))</f>
        <v>36.4480106379751</v>
      </c>
      <c r="L102" s="17" t="n">
        <f aca="false">IF(COUNT(B102:J102)&lt;9,"",10*LOG10(SUMPRODUCT(10^((B102:J102+Reference!$B$8:$J$8)/10))))</f>
        <v>61.7781650582444</v>
      </c>
      <c r="M102" s="17" t="n">
        <f aca="false">IF(ISNUMBER(K102),Inputs!$B$12-K102,"")</f>
        <v>-1.44801063797507</v>
      </c>
      <c r="N102" s="8" t="str">
        <f aca="false">IF(ISNUMBER(M102),IF(M102&gt;=0,"yes","no"),"")</f>
        <v>no</v>
      </c>
    </row>
    <row r="103" customFormat="false" ht="15" hidden="false" customHeight="false" outlineLevel="0" collapsed="false">
      <c r="A103" s="7" t="s">
        <v>124</v>
      </c>
    </row>
    <row r="104" customFormat="false" ht="23.85" hidden="false" customHeight="false" outlineLevel="0" collapsed="false">
      <c r="A104" s="13" t="s">
        <v>114</v>
      </c>
      <c r="B104" s="13" t="s">
        <v>64</v>
      </c>
      <c r="C104" s="13" t="s">
        <v>65</v>
      </c>
      <c r="D104" s="13" t="s">
        <v>66</v>
      </c>
      <c r="E104" s="13" t="s">
        <v>67</v>
      </c>
      <c r="F104" s="13" t="s">
        <v>68</v>
      </c>
      <c r="G104" s="13" t="s">
        <v>69</v>
      </c>
      <c r="H104" s="13" t="s">
        <v>70</v>
      </c>
      <c r="I104" s="13" t="s">
        <v>71</v>
      </c>
      <c r="J104" s="13" t="s">
        <v>72</v>
      </c>
      <c r="K104" s="13" t="s">
        <v>125</v>
      </c>
      <c r="L104" s="13" t="s">
        <v>88</v>
      </c>
    </row>
    <row r="105" customFormat="false" ht="15" hidden="false" customHeight="false" outlineLevel="0" collapsed="false">
      <c r="A105" s="17" t="n">
        <f aca="false">A97</f>
        <v>0.5</v>
      </c>
      <c r="B105" s="17" t="n">
        <f aca="false">IF(ISNUMBER(B97),Reference!B$9-B97,"")</f>
        <v>-24.3135334432507</v>
      </c>
      <c r="C105" s="17" t="n">
        <f aca="false">IF(ISNUMBER(C97),Reference!C$9-C97,"")</f>
        <v>-51.2704964495457</v>
      </c>
      <c r="D105" s="17" t="n">
        <f aca="false">IF(ISNUMBER(D97),Reference!D$9-D97,"")</f>
        <v>-51.5316512336467</v>
      </c>
      <c r="E105" s="17" t="n">
        <f aca="false">IF(ISNUMBER(E97),Reference!E$9-E97,"")</f>
        <v>-56.928091039281</v>
      </c>
      <c r="F105" s="17" t="n">
        <f aca="false">IF(ISNUMBER(F97),Reference!F$9-F97,"")</f>
        <v>-61.5035335527993</v>
      </c>
      <c r="G105" s="17" t="n">
        <f aca="false">IF(ISNUMBER(G97),Reference!G$9-G97,"")</f>
        <v>-61.673218216082</v>
      </c>
      <c r="H105" s="17" t="n">
        <f aca="false">IF(ISNUMBER(H97),Reference!H$9-H97,"")</f>
        <v>-58.4902135875968</v>
      </c>
      <c r="I105" s="17" t="n">
        <f aca="false">IF(ISNUMBER(I97),Reference!I$9-I97,"")</f>
        <v>-47.4992451495308</v>
      </c>
      <c r="J105" s="17" t="n">
        <f aca="false">IF(ISNUMBER(J97),Reference!J$9-J97,"")</f>
        <v>12.8744739930601</v>
      </c>
      <c r="K105" s="17" t="n">
        <f aca="false">IF(COUNT(B105:J105)=0,"",MIN(B105:J105))</f>
        <v>-61.673218216082</v>
      </c>
      <c r="L105" s="8" t="str">
        <f aca="false">IF(COUNT(B105:J105)&lt;9,"",IF(K105&gt;=0,"yes","no"))</f>
        <v>no</v>
      </c>
    </row>
    <row r="106" customFormat="false" ht="15" hidden="false" customHeight="false" outlineLevel="0" collapsed="false">
      <c r="A106" s="17" t="n">
        <f aca="false">A98</f>
        <v>1</v>
      </c>
      <c r="B106" s="17" t="n">
        <f aca="false">IF(ISNUMBER(B98),Reference!B$9-B98,"")</f>
        <v>-18.2769190303277</v>
      </c>
      <c r="C106" s="17" t="n">
        <f aca="false">IF(ISNUMBER(C98),Reference!C$9-C98,"")</f>
        <v>-45.1890518348467</v>
      </c>
      <c r="D106" s="17" t="n">
        <f aca="false">IF(ISNUMBER(D98),Reference!D$9-D98,"")</f>
        <v>-45.3055761857195</v>
      </c>
      <c r="E106" s="17" t="n">
        <f aca="false">IF(ISNUMBER(E98),Reference!E$9-E98,"")</f>
        <v>-50.3858074555561</v>
      </c>
      <c r="F106" s="17" t="n">
        <f aca="false">IF(ISNUMBER(F98),Reference!F$9-F98,"")</f>
        <v>-54.5190025873227</v>
      </c>
      <c r="G106" s="17" t="n">
        <f aca="false">IF(ISNUMBER(G98),Reference!G$9-G98,"")</f>
        <v>-53.8237754415249</v>
      </c>
      <c r="H106" s="17" t="n">
        <f aca="false">IF(ISNUMBER(H98),Reference!H$9-H98,"")</f>
        <v>-47.637640991701</v>
      </c>
      <c r="I106" s="17" t="n">
        <f aca="false">IF(ISNUMBER(I98),Reference!I$9-I98,"")</f>
        <v>-25.0935804306496</v>
      </c>
      <c r="J106" s="17" t="n">
        <f aca="false">IF(ISNUMBER(J98),Reference!J$9-J98,"")</f>
        <v>77.3360961521403</v>
      </c>
      <c r="K106" s="17" t="n">
        <f aca="false">IF(COUNT(B106:J106)=0,"",MIN(B106:J106))</f>
        <v>-54.5190025873227</v>
      </c>
      <c r="L106" s="8" t="str">
        <f aca="false">IF(COUNT(B106:J106)&lt;9,"",IF(K106&gt;=0,"yes","no"))</f>
        <v>no</v>
      </c>
    </row>
    <row r="107" customFormat="false" ht="15" hidden="false" customHeight="false" outlineLevel="0" collapsed="false">
      <c r="A107" s="17" t="n">
        <f aca="false">A99</f>
        <v>2</v>
      </c>
      <c r="B107" s="17" t="n">
        <f aca="false">IF(ISNUMBER(B99),Reference!B$9-B99,"")</f>
        <v>-12.2242901177613</v>
      </c>
      <c r="C107" s="17" t="n">
        <f aca="false">IF(ISNUMBER(C99),Reference!C$9-C99,"")</f>
        <v>-39.0467625187282</v>
      </c>
      <c r="D107" s="17" t="n">
        <f aca="false">IF(ISNUMBER(D99),Reference!D$9-D99,"")</f>
        <v>-38.8740260031447</v>
      </c>
      <c r="E107" s="17" t="n">
        <f aca="false">IF(ISNUMBER(E99),Reference!E$9-E99,"")</f>
        <v>-43.321840201386</v>
      </c>
      <c r="F107" s="17" t="n">
        <f aca="false">IF(ISNUMBER(F99),Reference!F$9-F99,"")</f>
        <v>-46.570540569649</v>
      </c>
      <c r="G107" s="17" t="n">
        <f aca="false">IF(ISNUMBER(G99),Reference!G$9-G99,"")</f>
        <v>-44.1454898056902</v>
      </c>
      <c r="H107" s="17" t="n">
        <f aca="false">IF(ISNUMBER(H99),Reference!H$9-H99,"")</f>
        <v>-31.953095713189</v>
      </c>
      <c r="I107" s="17" t="n">
        <f aca="false">IF(ISNUMBER(I99),Reference!I$9-I99,"")</f>
        <v>13.6971490938333</v>
      </c>
      <c r="J107" s="17" t="n">
        <f aca="false">IF(ISNUMBER(J99),Reference!J$9-J99,"")</f>
        <v>200.238740557021</v>
      </c>
      <c r="K107" s="17" t="n">
        <f aca="false">IF(COUNT(B107:J107)=0,"",MIN(B107:J107))</f>
        <v>-46.570540569649</v>
      </c>
      <c r="L107" s="8" t="str">
        <f aca="false">IF(COUNT(B107:J107)&lt;9,"",IF(K107&gt;=0,"yes","no"))</f>
        <v>no</v>
      </c>
    </row>
    <row r="108" customFormat="false" ht="15" hidden="false" customHeight="false" outlineLevel="0" collapsed="false">
      <c r="A108" s="17" t="n">
        <f aca="false">A100</f>
        <v>3</v>
      </c>
      <c r="B108" s="17" t="n">
        <f aca="false">IF(ISNUMBER(B100),Reference!B$9-B100,"")</f>
        <v>-8.67043593736094</v>
      </c>
      <c r="C108" s="17" t="n">
        <f aca="false">IF(ISNUMBER(C100),Reference!C$9-C100,"")</f>
        <v>-35.4032479347758</v>
      </c>
      <c r="D108" s="17" t="n">
        <f aca="false">IF(ISNUMBER(D100),Reference!D$9-D100,"")</f>
        <v>-34.9412505527359</v>
      </c>
      <c r="E108" s="17" t="n">
        <f aca="false">IF(ISNUMBER(E100),Reference!E$9-E100,"")</f>
        <v>-38.7566476793819</v>
      </c>
      <c r="F108" s="17" t="n">
        <f aca="false">IF(ISNUMBER(F100),Reference!F$9-F100,"")</f>
        <v>-41.1208532841414</v>
      </c>
      <c r="G108" s="17" t="n">
        <f aca="false">IF(ISNUMBER(G100),Reference!G$9-G100,"")</f>
        <v>-36.9659789020216</v>
      </c>
      <c r="H108" s="17" t="n">
        <f aca="false">IF(ISNUMBER(H100),Reference!H$9-H100,"")</f>
        <v>-18.7673251668429</v>
      </c>
      <c r="I108" s="17" t="n">
        <f aca="false">IF(ISNUMBER(I100),Reference!I$9-I100,"")</f>
        <v>49.9891038861501</v>
      </c>
      <c r="J108" s="17" t="n">
        <f aca="false">IF(ISNUMBER(J100),Reference!J$9-J100,"")</f>
        <v>320.642610229736</v>
      </c>
      <c r="K108" s="17" t="n">
        <f aca="false">IF(COUNT(B108:J108)=0,"",MIN(B108:J108))</f>
        <v>-41.1208532841414</v>
      </c>
      <c r="L108" s="8" t="str">
        <f aca="false">IF(COUNT(B108:J108)&lt;9,"",IF(K108&gt;=0,"yes","no"))</f>
        <v>no</v>
      </c>
    </row>
    <row r="109" customFormat="false" ht="15" hidden="false" customHeight="false" outlineLevel="0" collapsed="false">
      <c r="A109" s="17" t="n">
        <f aca="false">A101</f>
        <v>5</v>
      </c>
      <c r="B109" s="17" t="n">
        <f aca="false">IF(ISNUMBER(B101),Reference!B$9-B101,"")</f>
        <v>-4.16940294646027</v>
      </c>
      <c r="C109" s="17" t="n">
        <f aca="false">IF(ISNUMBER(C101),Reference!C$9-C101,"")</f>
        <v>-30.7228941367709</v>
      </c>
      <c r="D109" s="17" t="n">
        <f aca="false">IF(ISNUMBER(D101),Reference!D$9-D101,"")</f>
        <v>-29.6823750218184</v>
      </c>
      <c r="E109" s="17" t="n">
        <f aca="false">IF(ISNUMBER(E101),Reference!E$9-E101,"")</f>
        <v>-32.2329380052739</v>
      </c>
      <c r="F109" s="17" t="n">
        <f aca="false">IF(ISNUMBER(F101),Reference!F$9-F101,"")</f>
        <v>-32.8281540830263</v>
      </c>
      <c r="G109" s="17" t="n">
        <f aca="false">IF(ISNUMBER(G101),Reference!G$9-G101,"")</f>
        <v>-25.2136324645845</v>
      </c>
      <c r="H109" s="17" t="n">
        <f aca="false">IF(ISNUMBER(H101),Reference!H$9-H101,"")</f>
        <v>4.99754055594903</v>
      </c>
      <c r="I109" s="17" t="n">
        <f aca="false">IF(ISNUMBER(I101),Reference!I$9-I101,"")</f>
        <v>119.966338100884</v>
      </c>
      <c r="J109" s="17" t="n">
        <f aca="false">IF(ISNUMBER(J101),Reference!J$9-J101,"")</f>
        <v>558.843674205265</v>
      </c>
      <c r="K109" s="17" t="n">
        <f aca="false">IF(COUNT(B109:J109)=0,"",MIN(B109:J109))</f>
        <v>-32.8281540830263</v>
      </c>
      <c r="L109" s="8" t="str">
        <f aca="false">IF(COUNT(B109:J109)&lt;9,"",IF(K109&gt;=0,"yes","no"))</f>
        <v>no</v>
      </c>
    </row>
    <row r="110" customFormat="false" ht="15" hidden="false" customHeight="false" outlineLevel="0" collapsed="false">
      <c r="A110" s="17" t="n">
        <f aca="false">A102</f>
        <v>10</v>
      </c>
      <c r="B110" s="17" t="n">
        <f aca="false">IF(ISNUMBER(B102),Reference!B$9-B102,"")</f>
        <v>2.01134196325322</v>
      </c>
      <c r="C110" s="17" t="n">
        <f aca="false">IF(ISNUMBER(C102),Reference!C$9-C102,"")</f>
        <v>-24.0938472092971</v>
      </c>
      <c r="D110" s="17" t="n">
        <f aca="false">IF(ISNUMBER(D102),Reference!D$9-D102,"")</f>
        <v>-21.6070237620629</v>
      </c>
      <c r="E110" s="17" t="n">
        <f aca="false">IF(ISNUMBER(E102),Reference!E$9-E102,"")</f>
        <v>-20.9955013875419</v>
      </c>
      <c r="F110" s="17" t="n">
        <f aca="false">IF(ISNUMBER(F102),Reference!F$9-F102,"")</f>
        <v>-17.1682436477766</v>
      </c>
      <c r="G110" s="17" t="n">
        <f aca="false">IF(ISNUMBER(G102),Reference!G$9-G102,"")</f>
        <v>-0.904603938529837</v>
      </c>
      <c r="H110" s="17" t="n">
        <f aca="false">IF(ISNUMBER(H102),Reference!H$9-H102,"")</f>
        <v>59.3378672953907</v>
      </c>
      <c r="I110" s="17" t="n">
        <f aca="false">IF(ISNUMBER(I102),Reference!I$9-I102,"")</f>
        <v>289.83758607018</v>
      </c>
      <c r="J110" s="17" t="n">
        <f aca="false">IF(ISNUMBER(J102),Reference!J$9-J102,"")</f>
        <v>1149.27449657655</v>
      </c>
      <c r="K110" s="17" t="n">
        <f aca="false">IF(COUNT(B110:J110)=0,"",MIN(B110:J110))</f>
        <v>-24.0938472092971</v>
      </c>
      <c r="L110" s="8" t="str">
        <f aca="false">IF(COUNT(B110:J110)&lt;9,"",IF(K110&gt;=0,"yes","no"))</f>
        <v>no</v>
      </c>
    </row>
    <row r="112" customFormat="false" ht="15" hidden="false" customHeight="false" outlineLevel="0" collapsed="false">
      <c r="A112" s="26" t="str">
        <f aca="false">"Class: "&amp;Inputs!A26&amp;"   Character: "&amp;Inputs!A31</f>
        <v>Class: Large   Character: Balanced</v>
      </c>
    </row>
    <row r="113" customFormat="false" ht="15" hidden="false" customHeight="false" outlineLevel="0" collapsed="false">
      <c r="A113" s="7" t="s">
        <v>120</v>
      </c>
    </row>
    <row r="114" customFormat="false" ht="23.85" hidden="false" customHeight="false" outlineLevel="0" collapsed="false">
      <c r="A114" s="13" t="s">
        <v>114</v>
      </c>
      <c r="B114" s="13" t="s">
        <v>64</v>
      </c>
      <c r="C114" s="13" t="s">
        <v>65</v>
      </c>
      <c r="D114" s="13" t="s">
        <v>66</v>
      </c>
      <c r="E114" s="13" t="s">
        <v>67</v>
      </c>
      <c r="F114" s="13" t="s">
        <v>68</v>
      </c>
      <c r="G114" s="13" t="s">
        <v>69</v>
      </c>
      <c r="H114" s="13" t="s">
        <v>70</v>
      </c>
      <c r="I114" s="13" t="s">
        <v>71</v>
      </c>
      <c r="J114" s="13" t="s">
        <v>72</v>
      </c>
      <c r="K114" s="13" t="s">
        <v>121</v>
      </c>
      <c r="L114" s="13" t="s">
        <v>122</v>
      </c>
      <c r="M114" s="13" t="s">
        <v>86</v>
      </c>
      <c r="N114" s="13" t="s">
        <v>123</v>
      </c>
    </row>
    <row r="115" customFormat="false" ht="15" hidden="false" customHeight="false" outlineLevel="0" collapsed="false">
      <c r="A115" s="20" t="n">
        <f aca="false">Inputs!$A$15</f>
        <v>0.5</v>
      </c>
      <c r="B115" s="17" t="n">
        <f aca="false">IF(OR(Inputs!$B$26="",Inputs!$C$26=""),"",Inputs!B$31+Inputs!$B$26-Inputs!$K$31-20*LOG10($A115*1000/Inputs!$C$26)-Reference!B$10*($A115*1000-Inputs!$C$26)/1000)</f>
        <v>78.0471476003095</v>
      </c>
      <c r="C115" s="17" t="n">
        <f aca="false">IF(OR(Inputs!$B$26="",Inputs!$C$26=""),"",Inputs!C$31+Inputs!$B$26-Inputs!$K$31-20*LOG10($A115*1000/Inputs!$C$26)-Reference!C$10*($A115*1000-Inputs!$C$26)/1000)</f>
        <v>88.0059038146755</v>
      </c>
      <c r="D115" s="17" t="n">
        <f aca="false">IF(OR(Inputs!$B$26="",Inputs!$C$26=""),"",Inputs!D$31+Inputs!$B$26-Inputs!$K$31-20*LOG10($A115*1000/Inputs!$C$26)-Reference!D$10*($A115*1000-Inputs!$C$26)/1000)</f>
        <v>78.8728438161056</v>
      </c>
      <c r="E115" s="17" t="n">
        <f aca="false">IF(OR(Inputs!$B$26="",Inputs!$C$26=""),"",Inputs!E$31+Inputs!$B$26-Inputs!$K$31-20*LOG10($A115*1000/Inputs!$C$26)-Reference!E$10*($A115*1000-Inputs!$C$26)/1000)</f>
        <v>75.5819319631718</v>
      </c>
      <c r="F115" s="17" t="n">
        <f aca="false">IF(OR(Inputs!$B$26="",Inputs!$C$26=""),"",Inputs!F$31+Inputs!$B$26-Inputs!$K$31-20*LOG10($A115*1000/Inputs!$C$26)-Reference!F$10*($A115*1000-Inputs!$C$26)/1000)</f>
        <v>75.1750643719602</v>
      </c>
      <c r="G115" s="17" t="n">
        <f aca="false">IF(OR(Inputs!$B$26="",Inputs!$C$26=""),"",Inputs!G$31+Inputs!$B$26-Inputs!$K$31-20*LOG10($A115*1000/Inputs!$C$26)-Reference!G$10*($A115*1000-Inputs!$C$26)/1000)</f>
        <v>69.3793455076061</v>
      </c>
      <c r="H115" s="17" t="n">
        <f aca="false">IF(OR(Inputs!$B$26="",Inputs!$C$26=""),"",Inputs!H$31+Inputs!$B$26-Inputs!$K$31-20*LOG10($A115*1000/Inputs!$C$26)-Reference!H$10*($A115*1000-Inputs!$C$26)/1000)</f>
        <v>62.6164660719745</v>
      </c>
      <c r="I115" s="17" t="n">
        <f aca="false">IF(OR(Inputs!$B$26="",Inputs!$C$26=""),"",Inputs!I$31+Inputs!$B$26-Inputs!$K$31-20*LOG10($A115*1000/Inputs!$C$26)-Reference!I$10*($A115*1000-Inputs!$C$26)/1000)</f>
        <v>47.9876213188279</v>
      </c>
      <c r="J115" s="17" t="n">
        <f aca="false">IF(OR(Inputs!$B$26="",Inputs!$C$26=""),"",Inputs!J$31+Inputs!$B$26-Inputs!$K$31-20*LOG10($A115*1000/Inputs!$C$26)-Reference!J$10*($A115*1000-Inputs!$C$26)/1000)</f>
        <v>3.29614047384491</v>
      </c>
      <c r="K115" s="17" t="n">
        <f aca="false">IF(COUNT(B115:J115)&lt;9,"",10*LOG10(SUMPRODUCT(10^((B115:J115+Reference!$B$7:$J$7)/10))))</f>
        <v>75.4803607938155</v>
      </c>
      <c r="L115" s="17" t="n">
        <f aca="false">IF(COUNT(B115:J115)&lt;9,"",10*LOG10(SUMPRODUCT(10^((B115:J115+Reference!$B$8:$J$8)/10))))</f>
        <v>88.5168869818996</v>
      </c>
      <c r="M115" s="17" t="n">
        <f aca="false">IF(ISNUMBER(K115),Inputs!$B$12-K115,"")</f>
        <v>-40.4803607938155</v>
      </c>
      <c r="N115" s="8" t="str">
        <f aca="false">IF(ISNUMBER(M115),IF(M115&gt;=0,"yes","no"),"")</f>
        <v>no</v>
      </c>
    </row>
    <row r="116" customFormat="false" ht="15" hidden="false" customHeight="false" outlineLevel="0" collapsed="false">
      <c r="A116" s="20" t="n">
        <f aca="false">Inputs!$A$16</f>
        <v>1</v>
      </c>
      <c r="B116" s="17" t="n">
        <f aca="false">IF(OR(Inputs!$B$26="",Inputs!$C$26=""),"",Inputs!B$31+Inputs!$B$26-Inputs!$K$31-20*LOG10($A116*1000/Inputs!$C$26)-Reference!B$10*($A116*1000-Inputs!$C$26)/1000)</f>
        <v>72.0105331873865</v>
      </c>
      <c r="C116" s="17" t="n">
        <f aca="false">IF(OR(Inputs!$B$26="",Inputs!$C$26=""),"",Inputs!C$31+Inputs!$B$26-Inputs!$K$31-20*LOG10($A116*1000/Inputs!$C$26)-Reference!C$10*($A116*1000-Inputs!$C$26)/1000)</f>
        <v>81.9244591999765</v>
      </c>
      <c r="D116" s="17" t="n">
        <f aca="false">IF(OR(Inputs!$B$26="",Inputs!$C$26=""),"",Inputs!D$31+Inputs!$B$26-Inputs!$K$31-20*LOG10($A116*1000/Inputs!$C$26)-Reference!D$10*($A116*1000-Inputs!$C$26)/1000)</f>
        <v>72.6467687681784</v>
      </c>
      <c r="E116" s="17" t="n">
        <f aca="false">IF(OR(Inputs!$B$26="",Inputs!$C$26=""),"",Inputs!E$31+Inputs!$B$26-Inputs!$K$31-20*LOG10($A116*1000/Inputs!$C$26)-Reference!E$10*($A116*1000-Inputs!$C$26)/1000)</f>
        <v>69.0396483794469</v>
      </c>
      <c r="F116" s="17" t="n">
        <f aca="false">IF(OR(Inputs!$B$26="",Inputs!$C$26=""),"",Inputs!F$31+Inputs!$B$26-Inputs!$K$31-20*LOG10($A116*1000/Inputs!$C$26)-Reference!F$10*($A116*1000-Inputs!$C$26)/1000)</f>
        <v>68.1905334064835</v>
      </c>
      <c r="G116" s="17" t="n">
        <f aca="false">IF(OR(Inputs!$B$26="",Inputs!$C$26=""),"",Inputs!G$31+Inputs!$B$26-Inputs!$K$31-20*LOG10($A116*1000/Inputs!$C$26)-Reference!G$10*($A116*1000-Inputs!$C$26)/1000)</f>
        <v>61.529902733049</v>
      </c>
      <c r="H116" s="17" t="n">
        <f aca="false">IF(OR(Inputs!$B$26="",Inputs!$C$26=""),"",Inputs!H$31+Inputs!$B$26-Inputs!$K$31-20*LOG10($A116*1000/Inputs!$C$26)-Reference!H$10*($A116*1000-Inputs!$C$26)/1000)</f>
        <v>51.7638934760787</v>
      </c>
      <c r="I116" s="17" t="n">
        <f aca="false">IF(OR(Inputs!$B$26="",Inputs!$C$26=""),"",Inputs!I$31+Inputs!$B$26-Inputs!$K$31-20*LOG10($A116*1000/Inputs!$C$26)-Reference!I$10*($A116*1000-Inputs!$C$26)/1000)</f>
        <v>25.5819565999467</v>
      </c>
      <c r="J116" s="17" t="n">
        <f aca="false">IF(OR(Inputs!$B$26="",Inputs!$C$26=""),"",Inputs!J$31+Inputs!$B$26-Inputs!$K$31-20*LOG10($A116*1000/Inputs!$C$26)-Reference!J$10*($A116*1000-Inputs!$C$26)/1000)</f>
        <v>-61.1654816852353</v>
      </c>
      <c r="K116" s="17" t="n">
        <f aca="false">IF(COUNT(B116:J116)&lt;9,"",10*LOG10(SUMPRODUCT(10^((B116:J116+Reference!$B$7:$J$7)/10))))</f>
        <v>68.2669212120108</v>
      </c>
      <c r="L116" s="17" t="n">
        <f aca="false">IF(COUNT(B116:J116)&lt;9,"",10*LOG10(SUMPRODUCT(10^((B116:J116+Reference!$B$8:$J$8)/10))))</f>
        <v>82.3364552783903</v>
      </c>
      <c r="M116" s="17" t="n">
        <f aca="false">IF(ISNUMBER(K116),Inputs!$B$12-K116,"")</f>
        <v>-33.2669212120108</v>
      </c>
      <c r="N116" s="8" t="str">
        <f aca="false">IF(ISNUMBER(M116),IF(M116&gt;=0,"yes","no"),"")</f>
        <v>no</v>
      </c>
    </row>
    <row r="117" customFormat="false" ht="15" hidden="false" customHeight="false" outlineLevel="0" collapsed="false">
      <c r="A117" s="20" t="n">
        <f aca="false">Inputs!$A$17</f>
        <v>2</v>
      </c>
      <c r="B117" s="17" t="n">
        <f aca="false">IF(OR(Inputs!$B$26="",Inputs!$C$26=""),"",Inputs!B$31+Inputs!$B$26-Inputs!$K$31-20*LOG10($A117*1000/Inputs!$C$26)-Reference!B$10*($A117*1000-Inputs!$C$26)/1000)</f>
        <v>65.9579042748201</v>
      </c>
      <c r="C117" s="17" t="n">
        <f aca="false">IF(OR(Inputs!$B$26="",Inputs!$C$26=""),"",Inputs!C$31+Inputs!$B$26-Inputs!$K$31-20*LOG10($A117*1000/Inputs!$C$26)-Reference!C$10*($A117*1000-Inputs!$C$26)/1000)</f>
        <v>75.782169883858</v>
      </c>
      <c r="D117" s="17" t="n">
        <f aca="false">IF(OR(Inputs!$B$26="",Inputs!$C$26=""),"",Inputs!D$31+Inputs!$B$26-Inputs!$K$31-20*LOG10($A117*1000/Inputs!$C$26)-Reference!D$10*($A117*1000-Inputs!$C$26)/1000)</f>
        <v>66.2152185856036</v>
      </c>
      <c r="E117" s="17" t="n">
        <f aca="false">IF(OR(Inputs!$B$26="",Inputs!$C$26=""),"",Inputs!E$31+Inputs!$B$26-Inputs!$K$31-20*LOG10($A117*1000/Inputs!$C$26)-Reference!E$10*($A117*1000-Inputs!$C$26)/1000)</f>
        <v>61.9756811252768</v>
      </c>
      <c r="F117" s="17" t="n">
        <f aca="false">IF(OR(Inputs!$B$26="",Inputs!$C$26=""),"",Inputs!F$31+Inputs!$B$26-Inputs!$K$31-20*LOG10($A117*1000/Inputs!$C$26)-Reference!F$10*($A117*1000-Inputs!$C$26)/1000)</f>
        <v>60.2420713888099</v>
      </c>
      <c r="G117" s="17" t="n">
        <f aca="false">IF(OR(Inputs!$B$26="",Inputs!$C$26=""),"",Inputs!G$31+Inputs!$B$26-Inputs!$K$31-20*LOG10($A117*1000/Inputs!$C$26)-Reference!G$10*($A117*1000-Inputs!$C$26)/1000)</f>
        <v>51.8516170972144</v>
      </c>
      <c r="H117" s="17" t="n">
        <f aca="false">IF(OR(Inputs!$B$26="",Inputs!$C$26=""),"",Inputs!H$31+Inputs!$B$26-Inputs!$K$31-20*LOG10($A117*1000/Inputs!$C$26)-Reference!H$10*($A117*1000-Inputs!$C$26)/1000)</f>
        <v>36.0793481975666</v>
      </c>
      <c r="I117" s="17" t="n">
        <f aca="false">IF(OR(Inputs!$B$26="",Inputs!$C$26=""),"",Inputs!I$31+Inputs!$B$26-Inputs!$K$31-20*LOG10($A117*1000/Inputs!$C$26)-Reference!I$10*($A117*1000-Inputs!$C$26)/1000)</f>
        <v>-13.2087729245362</v>
      </c>
      <c r="J117" s="17" t="n">
        <f aca="false">IF(OR(Inputs!$B$26="",Inputs!$C$26=""),"",Inputs!J$31+Inputs!$B$26-Inputs!$K$31-20*LOG10($A117*1000/Inputs!$C$26)-Reference!J$10*($A117*1000-Inputs!$C$26)/1000)</f>
        <v>-184.068126090116</v>
      </c>
      <c r="K117" s="17" t="n">
        <f aca="false">IF(COUNT(B117:J117)&lt;9,"",10*LOG10(SUMPRODUCT(10^((B117:J117+Reference!$B$7:$J$7)/10))))</f>
        <v>60.3185254142637</v>
      </c>
      <c r="L117" s="17" t="n">
        <f aca="false">IF(COUNT(B117:J117)&lt;9,"",10*LOG10(SUMPRODUCT(10^((B117:J117+Reference!$B$8:$J$8)/10))))</f>
        <v>76.0481637339687</v>
      </c>
      <c r="M117" s="17" t="n">
        <f aca="false">IF(ISNUMBER(K117),Inputs!$B$12-K117,"")</f>
        <v>-25.3185254142637</v>
      </c>
      <c r="N117" s="8" t="str">
        <f aca="false">IF(ISNUMBER(M117),IF(M117&gt;=0,"yes","no"),"")</f>
        <v>no</v>
      </c>
    </row>
    <row r="118" customFormat="false" ht="15" hidden="false" customHeight="false" outlineLevel="0" collapsed="false">
      <c r="A118" s="20" t="n">
        <f aca="false">Inputs!$A$18</f>
        <v>3</v>
      </c>
      <c r="B118" s="17" t="n">
        <f aca="false">IF(OR(Inputs!$B$26="",Inputs!$C$26=""),"",Inputs!B$31+Inputs!$B$26-Inputs!$K$31-20*LOG10($A118*1000/Inputs!$C$26)-Reference!B$10*($A118*1000-Inputs!$C$26)/1000)</f>
        <v>62.4040500944197</v>
      </c>
      <c r="C118" s="17" t="n">
        <f aca="false">IF(OR(Inputs!$B$26="",Inputs!$C$26=""),"",Inputs!C$31+Inputs!$B$26-Inputs!$K$31-20*LOG10($A118*1000/Inputs!$C$26)-Reference!C$10*($A118*1000-Inputs!$C$26)/1000)</f>
        <v>72.1386552999055</v>
      </c>
      <c r="D118" s="17" t="n">
        <f aca="false">IF(OR(Inputs!$B$26="",Inputs!$C$26=""),"",Inputs!D$31+Inputs!$B$26-Inputs!$K$31-20*LOG10($A118*1000/Inputs!$C$26)-Reference!D$10*($A118*1000-Inputs!$C$26)/1000)</f>
        <v>62.2824431351948</v>
      </c>
      <c r="E118" s="17" t="n">
        <f aca="false">IF(OR(Inputs!$B$26="",Inputs!$C$26=""),"",Inputs!E$31+Inputs!$B$26-Inputs!$K$31-20*LOG10($A118*1000/Inputs!$C$26)-Reference!E$10*($A118*1000-Inputs!$C$26)/1000)</f>
        <v>57.4104886032727</v>
      </c>
      <c r="F118" s="17" t="n">
        <f aca="false">IF(OR(Inputs!$B$26="",Inputs!$C$26=""),"",Inputs!F$31+Inputs!$B$26-Inputs!$K$31-20*LOG10($A118*1000/Inputs!$C$26)-Reference!F$10*($A118*1000-Inputs!$C$26)/1000)</f>
        <v>54.7923841033023</v>
      </c>
      <c r="G118" s="17" t="n">
        <f aca="false">IF(OR(Inputs!$B$26="",Inputs!$C$26=""),"",Inputs!G$31+Inputs!$B$26-Inputs!$K$31-20*LOG10($A118*1000/Inputs!$C$26)-Reference!G$10*($A118*1000-Inputs!$C$26)/1000)</f>
        <v>44.6721061935457</v>
      </c>
      <c r="H118" s="17" t="n">
        <f aca="false">IF(OR(Inputs!$B$26="",Inputs!$C$26=""),"",Inputs!H$31+Inputs!$B$26-Inputs!$K$31-20*LOG10($A118*1000/Inputs!$C$26)-Reference!H$10*($A118*1000-Inputs!$C$26)/1000)</f>
        <v>22.8935776512206</v>
      </c>
      <c r="I118" s="17" t="n">
        <f aca="false">IF(OR(Inputs!$B$26="",Inputs!$C$26=""),"",Inputs!I$31+Inputs!$B$26-Inputs!$K$31-20*LOG10($A118*1000/Inputs!$C$26)-Reference!I$10*($A118*1000-Inputs!$C$26)/1000)</f>
        <v>-49.500727716853</v>
      </c>
      <c r="J118" s="17" t="n">
        <f aca="false">IF(OR(Inputs!$B$26="",Inputs!$C$26=""),"",Inputs!J$31+Inputs!$B$26-Inputs!$K$31-20*LOG10($A118*1000/Inputs!$C$26)-Reference!J$10*($A118*1000-Inputs!$C$26)/1000)</f>
        <v>-304.471995762831</v>
      </c>
      <c r="K118" s="17" t="n">
        <f aca="false">IF(COUNT(B118:J118)&lt;9,"",10*LOG10(SUMPRODUCT(10^((B118:J118+Reference!$B$7:$J$7)/10))))</f>
        <v>55.1967382422784</v>
      </c>
      <c r="L118" s="17" t="n">
        <f aca="false">IF(COUNT(B118:J118)&lt;9,"",10*LOG10(SUMPRODUCT(10^((B118:J118+Reference!$B$8:$J$8)/10))))</f>
        <v>72.2991517855122</v>
      </c>
      <c r="M118" s="17" t="n">
        <f aca="false">IF(ISNUMBER(K118),Inputs!$B$12-K118,"")</f>
        <v>-20.1967382422784</v>
      </c>
      <c r="N118" s="8" t="str">
        <f aca="false">IF(ISNUMBER(M118),IF(M118&gt;=0,"yes","no"),"")</f>
        <v>no</v>
      </c>
    </row>
    <row r="119" customFormat="false" ht="15" hidden="false" customHeight="false" outlineLevel="0" collapsed="false">
      <c r="A119" s="20" t="n">
        <f aca="false">Inputs!$A$19</f>
        <v>5</v>
      </c>
      <c r="B119" s="17" t="n">
        <f aca="false">IF(OR(Inputs!$B$26="",Inputs!$C$26=""),"",Inputs!B$31+Inputs!$B$26-Inputs!$K$31-20*LOG10($A119*1000/Inputs!$C$26)-Reference!B$10*($A119*1000-Inputs!$C$26)/1000)</f>
        <v>57.903017103519</v>
      </c>
      <c r="C119" s="17" t="n">
        <f aca="false">IF(OR(Inputs!$B$26="",Inputs!$C$26=""),"",Inputs!C$31+Inputs!$B$26-Inputs!$K$31-20*LOG10($A119*1000/Inputs!$C$26)-Reference!C$10*($A119*1000-Inputs!$C$26)/1000)</f>
        <v>67.4583015019007</v>
      </c>
      <c r="D119" s="17" t="n">
        <f aca="false">IF(OR(Inputs!$B$26="",Inputs!$C$26=""),"",Inputs!D$31+Inputs!$B$26-Inputs!$K$31-20*LOG10($A119*1000/Inputs!$C$26)-Reference!D$10*($A119*1000-Inputs!$C$26)/1000)</f>
        <v>57.0235676042773</v>
      </c>
      <c r="E119" s="17" t="n">
        <f aca="false">IF(OR(Inputs!$B$26="",Inputs!$C$26=""),"",Inputs!E$31+Inputs!$B$26-Inputs!$K$31-20*LOG10($A119*1000/Inputs!$C$26)-Reference!E$10*($A119*1000-Inputs!$C$26)/1000)</f>
        <v>50.8867789291647</v>
      </c>
      <c r="F119" s="17" t="n">
        <f aca="false">IF(OR(Inputs!$B$26="",Inputs!$C$26=""),"",Inputs!F$31+Inputs!$B$26-Inputs!$K$31-20*LOG10($A119*1000/Inputs!$C$26)-Reference!F$10*($A119*1000-Inputs!$C$26)/1000)</f>
        <v>46.4996849021872</v>
      </c>
      <c r="G119" s="17" t="n">
        <f aca="false">IF(OR(Inputs!$B$26="",Inputs!$C$26=""),"",Inputs!G$31+Inputs!$B$26-Inputs!$K$31-20*LOG10($A119*1000/Inputs!$C$26)-Reference!G$10*($A119*1000-Inputs!$C$26)/1000)</f>
        <v>32.9197597561086</v>
      </c>
      <c r="H119" s="17" t="n">
        <f aca="false">IF(OR(Inputs!$B$26="",Inputs!$C$26=""),"",Inputs!H$31+Inputs!$B$26-Inputs!$K$31-20*LOG10($A119*1000/Inputs!$C$26)-Reference!H$10*($A119*1000-Inputs!$C$26)/1000)</f>
        <v>-0.871288071571378</v>
      </c>
      <c r="I119" s="17" t="n">
        <f aca="false">IF(OR(Inputs!$B$26="",Inputs!$C$26=""),"",Inputs!I$31+Inputs!$B$26-Inputs!$K$31-20*LOG10($A119*1000/Inputs!$C$26)-Reference!I$10*($A119*1000-Inputs!$C$26)/1000)</f>
        <v>-119.477961931587</v>
      </c>
      <c r="J119" s="17" t="n">
        <f aca="false">IF(OR(Inputs!$B$26="",Inputs!$C$26=""),"",Inputs!J$31+Inputs!$B$26-Inputs!$K$31-20*LOG10($A119*1000/Inputs!$C$26)-Reference!J$10*($A119*1000-Inputs!$C$26)/1000)</f>
        <v>-542.67305973836</v>
      </c>
      <c r="K119" s="17" t="n">
        <f aca="false">IF(COUNT(B119:J119)&lt;9,"",10*LOG10(SUMPRODUCT(10^((B119:J119+Reference!$B$7:$J$7)/10))))</f>
        <v>48.200036818144</v>
      </c>
      <c r="L119" s="17" t="n">
        <f aca="false">IF(COUNT(B119:J119)&lt;9,"",10*LOG10(SUMPRODUCT(10^((B119:J119+Reference!$B$8:$J$8)/10))))</f>
        <v>67.4759926828689</v>
      </c>
      <c r="M119" s="17" t="n">
        <f aca="false">IF(ISNUMBER(K119),Inputs!$B$12-K119,"")</f>
        <v>-13.200036818144</v>
      </c>
      <c r="N119" s="8" t="str">
        <f aca="false">IF(ISNUMBER(M119),IF(M119&gt;=0,"yes","no"),"")</f>
        <v>no</v>
      </c>
    </row>
    <row r="120" customFormat="false" ht="15" hidden="false" customHeight="false" outlineLevel="0" collapsed="false">
      <c r="A120" s="20" t="n">
        <f aca="false">Inputs!$A$20</f>
        <v>10</v>
      </c>
      <c r="B120" s="17" t="n">
        <f aca="false">IF(OR(Inputs!$B$26="",Inputs!$C$26=""),"",Inputs!B$31+Inputs!$B$26-Inputs!$K$31-20*LOG10($A120*1000/Inputs!$C$26)-Reference!B$10*($A120*1000-Inputs!$C$26)/1000)</f>
        <v>51.7222721938055</v>
      </c>
      <c r="C120" s="17" t="n">
        <f aca="false">IF(OR(Inputs!$B$26="",Inputs!$C$26=""),"",Inputs!C$31+Inputs!$B$26-Inputs!$K$31-20*LOG10($A120*1000/Inputs!$C$26)-Reference!C$10*($A120*1000-Inputs!$C$26)/1000)</f>
        <v>60.8292545744269</v>
      </c>
      <c r="D120" s="17" t="n">
        <f aca="false">IF(OR(Inputs!$B$26="",Inputs!$C$26=""),"",Inputs!D$31+Inputs!$B$26-Inputs!$K$31-20*LOG10($A120*1000/Inputs!$C$26)-Reference!D$10*($A120*1000-Inputs!$C$26)/1000)</f>
        <v>48.9482163445218</v>
      </c>
      <c r="E120" s="17" t="n">
        <f aca="false">IF(OR(Inputs!$B$26="",Inputs!$C$26=""),"",Inputs!E$31+Inputs!$B$26-Inputs!$K$31-20*LOG10($A120*1000/Inputs!$C$26)-Reference!E$10*($A120*1000-Inputs!$C$26)/1000)</f>
        <v>39.6493423114327</v>
      </c>
      <c r="F120" s="17" t="n">
        <f aca="false">IF(OR(Inputs!$B$26="",Inputs!$C$26=""),"",Inputs!F$31+Inputs!$B$26-Inputs!$K$31-20*LOG10($A120*1000/Inputs!$C$26)-Reference!F$10*($A120*1000-Inputs!$C$26)/1000)</f>
        <v>30.8397744669375</v>
      </c>
      <c r="G120" s="17" t="n">
        <f aca="false">IF(OR(Inputs!$B$26="",Inputs!$C$26=""),"",Inputs!G$31+Inputs!$B$26-Inputs!$K$31-20*LOG10($A120*1000/Inputs!$C$26)-Reference!G$10*($A120*1000-Inputs!$C$26)/1000)</f>
        <v>8.61073123005395</v>
      </c>
      <c r="H120" s="17" t="n">
        <f aca="false">IF(OR(Inputs!$B$26="",Inputs!$C$26=""),"",Inputs!H$31+Inputs!$B$26-Inputs!$K$31-20*LOG10($A120*1000/Inputs!$C$26)-Reference!H$10*($A120*1000-Inputs!$C$26)/1000)</f>
        <v>-55.2116148110131</v>
      </c>
      <c r="I120" s="17" t="n">
        <f aca="false">IF(OR(Inputs!$B$26="",Inputs!$C$26=""),"",Inputs!I$31+Inputs!$B$26-Inputs!$K$31-20*LOG10($A120*1000/Inputs!$C$26)-Reference!I$10*($A120*1000-Inputs!$C$26)/1000)</f>
        <v>-289.349209900882</v>
      </c>
      <c r="J120" s="17" t="n">
        <f aca="false">IF(OR(Inputs!$B$26="",Inputs!$C$26=""),"",Inputs!J$31+Inputs!$B$26-Inputs!$K$31-20*LOG10($A120*1000/Inputs!$C$26)-Reference!J$10*($A120*1000-Inputs!$C$26)/1000)</f>
        <v>-1133.10388210965</v>
      </c>
      <c r="K120" s="17" t="n">
        <f aca="false">IF(COUNT(B120:J120)&lt;9,"",10*LOG10(SUMPRODUCT(10^((B120:J120+Reference!$B$7:$J$7)/10))))</f>
        <v>38.266341133028</v>
      </c>
      <c r="L120" s="17" t="n">
        <f aca="false">IF(COUNT(B120:J120)&lt;9,"",10*LOG10(SUMPRODUCT(10^((B120:J120+Reference!$B$8:$J$8)/10))))</f>
        <v>60.6694972757837</v>
      </c>
      <c r="M120" s="17" t="n">
        <f aca="false">IF(ISNUMBER(K120),Inputs!$B$12-K120,"")</f>
        <v>-3.26634113302796</v>
      </c>
      <c r="N120" s="8" t="str">
        <f aca="false">IF(ISNUMBER(M120),IF(M120&gt;=0,"yes","no"),"")</f>
        <v>no</v>
      </c>
    </row>
    <row r="121" customFormat="false" ht="15" hidden="false" customHeight="false" outlineLevel="0" collapsed="false">
      <c r="A121" s="7" t="s">
        <v>124</v>
      </c>
    </row>
    <row r="122" customFormat="false" ht="23.85" hidden="false" customHeight="false" outlineLevel="0" collapsed="false">
      <c r="A122" s="13" t="s">
        <v>114</v>
      </c>
      <c r="B122" s="13" t="s">
        <v>64</v>
      </c>
      <c r="C122" s="13" t="s">
        <v>65</v>
      </c>
      <c r="D122" s="13" t="s">
        <v>66</v>
      </c>
      <c r="E122" s="13" t="s">
        <v>67</v>
      </c>
      <c r="F122" s="13" t="s">
        <v>68</v>
      </c>
      <c r="G122" s="13" t="s">
        <v>69</v>
      </c>
      <c r="H122" s="13" t="s">
        <v>70</v>
      </c>
      <c r="I122" s="13" t="s">
        <v>71</v>
      </c>
      <c r="J122" s="13" t="s">
        <v>72</v>
      </c>
      <c r="K122" s="13" t="s">
        <v>125</v>
      </c>
      <c r="L122" s="13" t="s">
        <v>88</v>
      </c>
    </row>
    <row r="123" customFormat="false" ht="15" hidden="false" customHeight="false" outlineLevel="0" collapsed="false">
      <c r="A123" s="17" t="n">
        <f aca="false">A115</f>
        <v>0.5</v>
      </c>
      <c r="B123" s="17" t="n">
        <f aca="false">IF(ISNUMBER(B115),Reference!B$9-B115,"")</f>
        <v>-18.5471476003095</v>
      </c>
      <c r="C123" s="17" t="n">
        <f aca="false">IF(ISNUMBER(C115),Reference!C$9-C115,"")</f>
        <v>-50.5059038146755</v>
      </c>
      <c r="D123" s="17" t="n">
        <f aca="false">IF(ISNUMBER(D115),Reference!D$9-D115,"")</f>
        <v>-56.7728438161056</v>
      </c>
      <c r="E123" s="17" t="n">
        <f aca="false">IF(ISNUMBER(E115),Reference!E$9-E115,"")</f>
        <v>-64.1819319631718</v>
      </c>
      <c r="F123" s="17" t="n">
        <f aca="false">IF(ISNUMBER(F115),Reference!F$9-F115,"")</f>
        <v>-70.7750643719602</v>
      </c>
      <c r="G123" s="17" t="n">
        <f aca="false">IF(ISNUMBER(G115),Reference!G$9-G115,"")</f>
        <v>-66.9793455076061</v>
      </c>
      <c r="H123" s="17" t="n">
        <f aca="false">IF(ISNUMBER(H115),Reference!H$9-H115,"")</f>
        <v>-63.9164660719745</v>
      </c>
      <c r="I123" s="17" t="n">
        <f aca="false">IF(ISNUMBER(I115),Reference!I$9-I115,"")</f>
        <v>-53.3876213188279</v>
      </c>
      <c r="J123" s="17" t="n">
        <f aca="false">IF(ISNUMBER(J115),Reference!J$9-J115,"")</f>
        <v>9.30385952615509</v>
      </c>
      <c r="K123" s="17" t="n">
        <f aca="false">IF(COUNT(B123:J123)=0,"",MIN(B123:J123))</f>
        <v>-70.7750643719602</v>
      </c>
      <c r="L123" s="8" t="str">
        <f aca="false">IF(COUNT(B123:J123)&lt;9,"",IF(K123&gt;=0,"yes","no"))</f>
        <v>no</v>
      </c>
    </row>
    <row r="124" customFormat="false" ht="15" hidden="false" customHeight="false" outlineLevel="0" collapsed="false">
      <c r="A124" s="17" t="n">
        <f aca="false">A116</f>
        <v>1</v>
      </c>
      <c r="B124" s="17" t="n">
        <f aca="false">IF(ISNUMBER(B116),Reference!B$9-B116,"")</f>
        <v>-12.5105331873865</v>
      </c>
      <c r="C124" s="17" t="n">
        <f aca="false">IF(ISNUMBER(C116),Reference!C$9-C116,"")</f>
        <v>-44.4244591999765</v>
      </c>
      <c r="D124" s="17" t="n">
        <f aca="false">IF(ISNUMBER(D116),Reference!D$9-D116,"")</f>
        <v>-50.5467687681784</v>
      </c>
      <c r="E124" s="17" t="n">
        <f aca="false">IF(ISNUMBER(E116),Reference!E$9-E116,"")</f>
        <v>-57.6396483794469</v>
      </c>
      <c r="F124" s="17" t="n">
        <f aca="false">IF(ISNUMBER(F116),Reference!F$9-F116,"")</f>
        <v>-63.7905334064835</v>
      </c>
      <c r="G124" s="17" t="n">
        <f aca="false">IF(ISNUMBER(G116),Reference!G$9-G116,"")</f>
        <v>-59.129902733049</v>
      </c>
      <c r="H124" s="17" t="n">
        <f aca="false">IF(ISNUMBER(H116),Reference!H$9-H116,"")</f>
        <v>-53.0638934760787</v>
      </c>
      <c r="I124" s="17" t="n">
        <f aca="false">IF(ISNUMBER(I116),Reference!I$9-I116,"")</f>
        <v>-30.9819565999467</v>
      </c>
      <c r="J124" s="17" t="n">
        <f aca="false">IF(ISNUMBER(J116),Reference!J$9-J116,"")</f>
        <v>73.7654816852352</v>
      </c>
      <c r="K124" s="17" t="n">
        <f aca="false">IF(COUNT(B124:J124)=0,"",MIN(B124:J124))</f>
        <v>-63.7905334064835</v>
      </c>
      <c r="L124" s="8" t="str">
        <f aca="false">IF(COUNT(B124:J124)&lt;9,"",IF(K124&gt;=0,"yes","no"))</f>
        <v>no</v>
      </c>
    </row>
    <row r="125" customFormat="false" ht="15" hidden="false" customHeight="false" outlineLevel="0" collapsed="false">
      <c r="A125" s="17" t="n">
        <f aca="false">A117</f>
        <v>2</v>
      </c>
      <c r="B125" s="17" t="n">
        <f aca="false">IF(ISNUMBER(B117),Reference!B$9-B117,"")</f>
        <v>-6.45790427482008</v>
      </c>
      <c r="C125" s="17" t="n">
        <f aca="false">IF(ISNUMBER(C117),Reference!C$9-C117,"")</f>
        <v>-38.282169883858</v>
      </c>
      <c r="D125" s="17" t="n">
        <f aca="false">IF(ISNUMBER(D117),Reference!D$9-D117,"")</f>
        <v>-44.1152185856036</v>
      </c>
      <c r="E125" s="17" t="n">
        <f aca="false">IF(ISNUMBER(E117),Reference!E$9-E117,"")</f>
        <v>-50.5756811252768</v>
      </c>
      <c r="F125" s="17" t="n">
        <f aca="false">IF(ISNUMBER(F117),Reference!F$9-F117,"")</f>
        <v>-55.8420713888099</v>
      </c>
      <c r="G125" s="17" t="n">
        <f aca="false">IF(ISNUMBER(G117),Reference!G$9-G117,"")</f>
        <v>-49.4516170972144</v>
      </c>
      <c r="H125" s="17" t="n">
        <f aca="false">IF(ISNUMBER(H117),Reference!H$9-H117,"")</f>
        <v>-37.3793481975666</v>
      </c>
      <c r="I125" s="17" t="n">
        <f aca="false">IF(ISNUMBER(I117),Reference!I$9-I117,"")</f>
        <v>7.80877292453618</v>
      </c>
      <c r="J125" s="17" t="n">
        <f aca="false">IF(ISNUMBER(J117),Reference!J$9-J117,"")</f>
        <v>196.668126090116</v>
      </c>
      <c r="K125" s="17" t="n">
        <f aca="false">IF(COUNT(B125:J125)=0,"",MIN(B125:J125))</f>
        <v>-55.8420713888099</v>
      </c>
      <c r="L125" s="8" t="str">
        <f aca="false">IF(COUNT(B125:J125)&lt;9,"",IF(K125&gt;=0,"yes","no"))</f>
        <v>no</v>
      </c>
    </row>
    <row r="126" customFormat="false" ht="15" hidden="false" customHeight="false" outlineLevel="0" collapsed="false">
      <c r="A126" s="17" t="n">
        <f aca="false">A118</f>
        <v>3</v>
      </c>
      <c r="B126" s="17" t="n">
        <f aca="false">IF(ISNUMBER(B118),Reference!B$9-B118,"")</f>
        <v>-2.90405009441968</v>
      </c>
      <c r="C126" s="17" t="n">
        <f aca="false">IF(ISNUMBER(C118),Reference!C$9-C118,"")</f>
        <v>-34.6386552999055</v>
      </c>
      <c r="D126" s="17" t="n">
        <f aca="false">IF(ISNUMBER(D118),Reference!D$9-D118,"")</f>
        <v>-40.1824431351948</v>
      </c>
      <c r="E126" s="17" t="n">
        <f aca="false">IF(ISNUMBER(E118),Reference!E$9-E118,"")</f>
        <v>-46.0104886032727</v>
      </c>
      <c r="F126" s="17" t="n">
        <f aca="false">IF(ISNUMBER(F118),Reference!F$9-F118,"")</f>
        <v>-50.3923841033023</v>
      </c>
      <c r="G126" s="17" t="n">
        <f aca="false">IF(ISNUMBER(G118),Reference!G$9-G118,"")</f>
        <v>-42.2721061935457</v>
      </c>
      <c r="H126" s="17" t="n">
        <f aca="false">IF(ISNUMBER(H118),Reference!H$9-H118,"")</f>
        <v>-24.1935776512206</v>
      </c>
      <c r="I126" s="17" t="n">
        <f aca="false">IF(ISNUMBER(I118),Reference!I$9-I118,"")</f>
        <v>44.100727716853</v>
      </c>
      <c r="J126" s="17" t="n">
        <f aca="false">IF(ISNUMBER(J118),Reference!J$9-J118,"")</f>
        <v>317.071995762831</v>
      </c>
      <c r="K126" s="17" t="n">
        <f aca="false">IF(COUNT(B126:J126)=0,"",MIN(B126:J126))</f>
        <v>-50.3923841033023</v>
      </c>
      <c r="L126" s="8" t="str">
        <f aca="false">IF(COUNT(B126:J126)&lt;9,"",IF(K126&gt;=0,"yes","no"))</f>
        <v>no</v>
      </c>
    </row>
    <row r="127" customFormat="false" ht="15" hidden="false" customHeight="false" outlineLevel="0" collapsed="false">
      <c r="A127" s="17" t="n">
        <f aca="false">A119</f>
        <v>5</v>
      </c>
      <c r="B127" s="17" t="n">
        <f aca="false">IF(ISNUMBER(B119),Reference!B$9-B119,"")</f>
        <v>1.59698289648098</v>
      </c>
      <c r="C127" s="17" t="n">
        <f aca="false">IF(ISNUMBER(C119),Reference!C$9-C119,"")</f>
        <v>-29.9583015019007</v>
      </c>
      <c r="D127" s="17" t="n">
        <f aca="false">IF(ISNUMBER(D119),Reference!D$9-D119,"")</f>
        <v>-34.9235676042773</v>
      </c>
      <c r="E127" s="17" t="n">
        <f aca="false">IF(ISNUMBER(E119),Reference!E$9-E119,"")</f>
        <v>-39.4867789291647</v>
      </c>
      <c r="F127" s="17" t="n">
        <f aca="false">IF(ISNUMBER(F119),Reference!F$9-F119,"")</f>
        <v>-42.0996849021872</v>
      </c>
      <c r="G127" s="17" t="n">
        <f aca="false">IF(ISNUMBER(G119),Reference!G$9-G119,"")</f>
        <v>-30.5197597561086</v>
      </c>
      <c r="H127" s="17" t="n">
        <f aca="false">IF(ISNUMBER(H119),Reference!H$9-H119,"")</f>
        <v>-0.428711928428622</v>
      </c>
      <c r="I127" s="17" t="n">
        <f aca="false">IF(ISNUMBER(I119),Reference!I$9-I119,"")</f>
        <v>114.077961931587</v>
      </c>
      <c r="J127" s="17" t="n">
        <f aca="false">IF(ISNUMBER(J119),Reference!J$9-J119,"")</f>
        <v>555.27305973836</v>
      </c>
      <c r="K127" s="17" t="n">
        <f aca="false">IF(COUNT(B127:J127)=0,"",MIN(B127:J127))</f>
        <v>-42.0996849021872</v>
      </c>
      <c r="L127" s="8" t="str">
        <f aca="false">IF(COUNT(B127:J127)&lt;9,"",IF(K127&gt;=0,"yes","no"))</f>
        <v>no</v>
      </c>
    </row>
    <row r="128" customFormat="false" ht="15" hidden="false" customHeight="false" outlineLevel="0" collapsed="false">
      <c r="A128" s="17" t="n">
        <f aca="false">A120</f>
        <v>10</v>
      </c>
      <c r="B128" s="17" t="n">
        <f aca="false">IF(ISNUMBER(B120),Reference!B$9-B120,"")</f>
        <v>7.77772780619447</v>
      </c>
      <c r="C128" s="17" t="n">
        <f aca="false">IF(ISNUMBER(C120),Reference!C$9-C120,"")</f>
        <v>-23.3292545744269</v>
      </c>
      <c r="D128" s="17" t="n">
        <f aca="false">IF(ISNUMBER(D120),Reference!D$9-D120,"")</f>
        <v>-26.8482163445218</v>
      </c>
      <c r="E128" s="17" t="n">
        <f aca="false">IF(ISNUMBER(E120),Reference!E$9-E120,"")</f>
        <v>-28.2493423114327</v>
      </c>
      <c r="F128" s="17" t="n">
        <f aca="false">IF(ISNUMBER(F120),Reference!F$9-F120,"")</f>
        <v>-26.4397744669375</v>
      </c>
      <c r="G128" s="17" t="n">
        <f aca="false">IF(ISNUMBER(G120),Reference!G$9-G120,"")</f>
        <v>-6.21073123005395</v>
      </c>
      <c r="H128" s="17" t="n">
        <f aca="false">IF(ISNUMBER(H120),Reference!H$9-H120,"")</f>
        <v>53.9116148110131</v>
      </c>
      <c r="I128" s="17" t="n">
        <f aca="false">IF(ISNUMBER(I120),Reference!I$9-I120,"")</f>
        <v>283.949209900882</v>
      </c>
      <c r="J128" s="17" t="n">
        <f aca="false">IF(ISNUMBER(J120),Reference!J$9-J120,"")</f>
        <v>1145.70388210964</v>
      </c>
      <c r="K128" s="17" t="n">
        <f aca="false">IF(COUNT(B128:J128)=0,"",MIN(B128:J128))</f>
        <v>-28.2493423114327</v>
      </c>
      <c r="L128" s="8" t="str">
        <f aca="false">IF(COUNT(B128:J128)&lt;9,"",IF(K128&gt;=0,"yes","no"))</f>
        <v>no</v>
      </c>
    </row>
    <row r="130" customFormat="false" ht="15" hidden="false" customHeight="false" outlineLevel="0" collapsed="false">
      <c r="A130" s="26" t="str">
        <f aca="false">"Class: "&amp;Inputs!A26&amp;"   Character: "&amp;Inputs!A32</f>
        <v>Class: Large   Character: Bass heavy</v>
      </c>
    </row>
    <row r="131" customFormat="false" ht="15" hidden="false" customHeight="false" outlineLevel="0" collapsed="false">
      <c r="A131" s="7" t="s">
        <v>120</v>
      </c>
    </row>
    <row r="132" customFormat="false" ht="23.85" hidden="false" customHeight="false" outlineLevel="0" collapsed="false">
      <c r="A132" s="13" t="s">
        <v>114</v>
      </c>
      <c r="B132" s="13" t="s">
        <v>64</v>
      </c>
      <c r="C132" s="13" t="s">
        <v>65</v>
      </c>
      <c r="D132" s="13" t="s">
        <v>66</v>
      </c>
      <c r="E132" s="13" t="s">
        <v>67</v>
      </c>
      <c r="F132" s="13" t="s">
        <v>68</v>
      </c>
      <c r="G132" s="13" t="s">
        <v>69</v>
      </c>
      <c r="H132" s="13" t="s">
        <v>70</v>
      </c>
      <c r="I132" s="13" t="s">
        <v>71</v>
      </c>
      <c r="J132" s="13" t="s">
        <v>72</v>
      </c>
      <c r="K132" s="13" t="s">
        <v>121</v>
      </c>
      <c r="L132" s="13" t="s">
        <v>122</v>
      </c>
      <c r="M132" s="13" t="s">
        <v>86</v>
      </c>
      <c r="N132" s="13" t="s">
        <v>123</v>
      </c>
    </row>
    <row r="133" customFormat="false" ht="15" hidden="false" customHeight="false" outlineLevel="0" collapsed="false">
      <c r="A133" s="20" t="n">
        <f aca="false">Inputs!$A$15</f>
        <v>0.5</v>
      </c>
      <c r="B133" s="17" t="n">
        <f aca="false">IF(OR(Inputs!$B$26="",Inputs!$C$26=""),"",Inputs!B$32+Inputs!$B$26-Inputs!$K$32-20*LOG10($A133*1000/Inputs!$C$26)-Reference!B$10*($A133*1000-Inputs!$C$26)/1000)</f>
        <v>87.6455335093608</v>
      </c>
      <c r="C133" s="17" t="n">
        <f aca="false">IF(OR(Inputs!$B$26="",Inputs!$C$26=""),"",Inputs!C$32+Inputs!$B$26-Inputs!$K$32-20*LOG10($A133*1000/Inputs!$C$26)-Reference!C$10*($A133*1000-Inputs!$C$26)/1000)</f>
        <v>91.6042897237268</v>
      </c>
      <c r="D133" s="17" t="n">
        <f aca="false">IF(OR(Inputs!$B$26="",Inputs!$C$26=""),"",Inputs!D$32+Inputs!$B$26-Inputs!$K$32-20*LOG10($A133*1000/Inputs!$C$26)-Reference!D$10*($A133*1000-Inputs!$C$26)/1000)</f>
        <v>76.4712297251569</v>
      </c>
      <c r="E133" s="17" t="n">
        <f aca="false">IF(OR(Inputs!$B$26="",Inputs!$C$26=""),"",Inputs!E$32+Inputs!$B$26-Inputs!$K$32-20*LOG10($A133*1000/Inputs!$C$26)-Reference!E$10*($A133*1000-Inputs!$C$26)/1000)</f>
        <v>74.1803178722231</v>
      </c>
      <c r="F133" s="17" t="n">
        <f aca="false">IF(OR(Inputs!$B$26="",Inputs!$C$26=""),"",Inputs!F$32+Inputs!$B$26-Inputs!$K$32-20*LOG10($A133*1000/Inputs!$C$26)-Reference!F$10*($A133*1000-Inputs!$C$26)/1000)</f>
        <v>71.7734502810114</v>
      </c>
      <c r="G133" s="17" t="n">
        <f aca="false">IF(OR(Inputs!$B$26="",Inputs!$C$26=""),"",Inputs!G$32+Inputs!$B$26-Inputs!$K$32-20*LOG10($A133*1000/Inputs!$C$26)-Reference!G$10*($A133*1000-Inputs!$C$26)/1000)</f>
        <v>70.9777314166574</v>
      </c>
      <c r="H133" s="17" t="n">
        <f aca="false">IF(OR(Inputs!$B$26="",Inputs!$C$26=""),"",Inputs!H$32+Inputs!$B$26-Inputs!$K$32-20*LOG10($A133*1000/Inputs!$C$26)-Reference!H$10*($A133*1000-Inputs!$C$26)/1000)</f>
        <v>64.2148519810258</v>
      </c>
      <c r="I133" s="17" t="n">
        <f aca="false">IF(OR(Inputs!$B$26="",Inputs!$C$26=""),"",Inputs!I$32+Inputs!$B$26-Inputs!$K$32-20*LOG10($A133*1000/Inputs!$C$26)-Reference!I$10*($A133*1000-Inputs!$C$26)/1000)</f>
        <v>49.5860072278792</v>
      </c>
      <c r="J133" s="17" t="n">
        <f aca="false">IF(OR(Inputs!$B$26="",Inputs!$C$26=""),"",Inputs!J$32+Inputs!$B$26-Inputs!$K$32-20*LOG10($A133*1000/Inputs!$C$26)-Reference!J$10*($A133*1000-Inputs!$C$26)/1000)</f>
        <v>8.89452638289619</v>
      </c>
      <c r="K133" s="17" t="n">
        <f aca="false">IF(COUNT(B133:J133)&lt;9,"",10*LOG10(SUMPRODUCT(10^((B133:J133+Reference!$B$7:$J$7)/10))))</f>
        <v>74.9913611716156</v>
      </c>
      <c r="L133" s="17" t="n">
        <f aca="false">IF(COUNT(B133:J133)&lt;9,"",10*LOG10(SUMPRODUCT(10^((B133:J133+Reference!$B$8:$J$8)/10))))</f>
        <v>92.0238470316053</v>
      </c>
      <c r="M133" s="17" t="n">
        <f aca="false">IF(ISNUMBER(K133),Inputs!$B$12-K133,"")</f>
        <v>-39.9913611716156</v>
      </c>
      <c r="N133" s="8" t="str">
        <f aca="false">IF(ISNUMBER(M133),IF(M133&gt;=0,"yes","no"),"")</f>
        <v>no</v>
      </c>
    </row>
    <row r="134" customFormat="false" ht="15" hidden="false" customHeight="false" outlineLevel="0" collapsed="false">
      <c r="A134" s="20" t="n">
        <f aca="false">Inputs!$A$16</f>
        <v>1</v>
      </c>
      <c r="B134" s="17" t="n">
        <f aca="false">IF(OR(Inputs!$B$26="",Inputs!$C$26=""),"",Inputs!B$32+Inputs!$B$26-Inputs!$K$32-20*LOG10($A134*1000/Inputs!$C$26)-Reference!B$10*($A134*1000-Inputs!$C$26)/1000)</f>
        <v>81.6089190964378</v>
      </c>
      <c r="C134" s="17" t="n">
        <f aca="false">IF(OR(Inputs!$B$26="",Inputs!$C$26=""),"",Inputs!C$32+Inputs!$B$26-Inputs!$K$32-20*LOG10($A134*1000/Inputs!$C$26)-Reference!C$10*($A134*1000-Inputs!$C$26)/1000)</f>
        <v>85.5228451090278</v>
      </c>
      <c r="D134" s="17" t="n">
        <f aca="false">IF(OR(Inputs!$B$26="",Inputs!$C$26=""),"",Inputs!D$32+Inputs!$B$26-Inputs!$K$32-20*LOG10($A134*1000/Inputs!$C$26)-Reference!D$10*($A134*1000-Inputs!$C$26)/1000)</f>
        <v>70.2451546772297</v>
      </c>
      <c r="E134" s="17" t="n">
        <f aca="false">IF(OR(Inputs!$B$26="",Inputs!$C$26=""),"",Inputs!E$32+Inputs!$B$26-Inputs!$K$32-20*LOG10($A134*1000/Inputs!$C$26)-Reference!E$10*($A134*1000-Inputs!$C$26)/1000)</f>
        <v>67.6380342884982</v>
      </c>
      <c r="F134" s="17" t="n">
        <f aca="false">IF(OR(Inputs!$B$26="",Inputs!$C$26=""),"",Inputs!F$32+Inputs!$B$26-Inputs!$K$32-20*LOG10($A134*1000/Inputs!$C$26)-Reference!F$10*($A134*1000-Inputs!$C$26)/1000)</f>
        <v>64.7889193155348</v>
      </c>
      <c r="G134" s="17" t="n">
        <f aca="false">IF(OR(Inputs!$B$26="",Inputs!$C$26=""),"",Inputs!G$32+Inputs!$B$26-Inputs!$K$32-20*LOG10($A134*1000/Inputs!$C$26)-Reference!G$10*($A134*1000-Inputs!$C$26)/1000)</f>
        <v>63.1282886421003</v>
      </c>
      <c r="H134" s="17" t="n">
        <f aca="false">IF(OR(Inputs!$B$26="",Inputs!$C$26=""),"",Inputs!H$32+Inputs!$B$26-Inputs!$K$32-20*LOG10($A134*1000/Inputs!$C$26)-Reference!H$10*($A134*1000-Inputs!$C$26)/1000)</f>
        <v>53.3622793851299</v>
      </c>
      <c r="I134" s="17" t="n">
        <f aca="false">IF(OR(Inputs!$B$26="",Inputs!$C$26=""),"",Inputs!I$32+Inputs!$B$26-Inputs!$K$32-20*LOG10($A134*1000/Inputs!$C$26)-Reference!I$10*($A134*1000-Inputs!$C$26)/1000)</f>
        <v>27.180342508998</v>
      </c>
      <c r="J134" s="17" t="n">
        <f aca="false">IF(OR(Inputs!$B$26="",Inputs!$C$26=""),"",Inputs!J$32+Inputs!$B$26-Inputs!$K$32-20*LOG10($A134*1000/Inputs!$C$26)-Reference!J$10*($A134*1000-Inputs!$C$26)/1000)</f>
        <v>-55.567095776184</v>
      </c>
      <c r="K134" s="17" t="n">
        <f aca="false">IF(COUNT(B134:J134)&lt;9,"",10*LOG10(SUMPRODUCT(10^((B134:J134+Reference!$B$7:$J$7)/10))))</f>
        <v>67.5714557746341</v>
      </c>
      <c r="L134" s="17" t="n">
        <f aca="false">IF(COUNT(B134:J134)&lt;9,"",10*LOG10(SUMPRODUCT(10^((B134:J134+Reference!$B$8:$J$8)/10))))</f>
        <v>85.9157030264647</v>
      </c>
      <c r="M134" s="17" t="n">
        <f aca="false">IF(ISNUMBER(K134),Inputs!$B$12-K134,"")</f>
        <v>-32.5714557746341</v>
      </c>
      <c r="N134" s="8" t="str">
        <f aca="false">IF(ISNUMBER(M134),IF(M134&gt;=0,"yes","no"),"")</f>
        <v>no</v>
      </c>
    </row>
    <row r="135" customFormat="false" ht="15" hidden="false" customHeight="false" outlineLevel="0" collapsed="false">
      <c r="A135" s="20" t="n">
        <f aca="false">Inputs!$A$17</f>
        <v>2</v>
      </c>
      <c r="B135" s="17" t="n">
        <f aca="false">IF(OR(Inputs!$B$26="",Inputs!$C$26=""),"",Inputs!B$32+Inputs!$B$26-Inputs!$K$32-20*LOG10($A135*1000/Inputs!$C$26)-Reference!B$10*($A135*1000-Inputs!$C$26)/1000)</f>
        <v>75.5562901838714</v>
      </c>
      <c r="C135" s="17" t="n">
        <f aca="false">IF(OR(Inputs!$B$26="",Inputs!$C$26=""),"",Inputs!C$32+Inputs!$B$26-Inputs!$K$32-20*LOG10($A135*1000/Inputs!$C$26)-Reference!C$10*($A135*1000-Inputs!$C$26)/1000)</f>
        <v>79.3805557929093</v>
      </c>
      <c r="D135" s="17" t="n">
        <f aca="false">IF(OR(Inputs!$B$26="",Inputs!$C$26=""),"",Inputs!D$32+Inputs!$B$26-Inputs!$K$32-20*LOG10($A135*1000/Inputs!$C$26)-Reference!D$10*($A135*1000-Inputs!$C$26)/1000)</f>
        <v>63.8136044946549</v>
      </c>
      <c r="E135" s="17" t="n">
        <f aca="false">IF(OR(Inputs!$B$26="",Inputs!$C$26=""),"",Inputs!E$32+Inputs!$B$26-Inputs!$K$32-20*LOG10($A135*1000/Inputs!$C$26)-Reference!E$10*($A135*1000-Inputs!$C$26)/1000)</f>
        <v>60.5740670343281</v>
      </c>
      <c r="F135" s="17" t="n">
        <f aca="false">IF(OR(Inputs!$B$26="",Inputs!$C$26=""),"",Inputs!F$32+Inputs!$B$26-Inputs!$K$32-20*LOG10($A135*1000/Inputs!$C$26)-Reference!F$10*($A135*1000-Inputs!$C$26)/1000)</f>
        <v>56.8404572978612</v>
      </c>
      <c r="G135" s="17" t="n">
        <f aca="false">IF(OR(Inputs!$B$26="",Inputs!$C$26=""),"",Inputs!G$32+Inputs!$B$26-Inputs!$K$32-20*LOG10($A135*1000/Inputs!$C$26)-Reference!G$10*($A135*1000-Inputs!$C$26)/1000)</f>
        <v>53.4500030062656</v>
      </c>
      <c r="H135" s="17" t="n">
        <f aca="false">IF(OR(Inputs!$B$26="",Inputs!$C$26=""),"",Inputs!H$32+Inputs!$B$26-Inputs!$K$32-20*LOG10($A135*1000/Inputs!$C$26)-Reference!H$10*($A135*1000-Inputs!$C$26)/1000)</f>
        <v>37.6777341066179</v>
      </c>
      <c r="I135" s="17" t="n">
        <f aca="false">IF(OR(Inputs!$B$26="",Inputs!$C$26=""),"",Inputs!I$32+Inputs!$B$26-Inputs!$K$32-20*LOG10($A135*1000/Inputs!$C$26)-Reference!I$10*($A135*1000-Inputs!$C$26)/1000)</f>
        <v>-11.6103870154849</v>
      </c>
      <c r="J135" s="17" t="n">
        <f aca="false">IF(OR(Inputs!$B$26="",Inputs!$C$26=""),"",Inputs!J$32+Inputs!$B$26-Inputs!$K$32-20*LOG10($A135*1000/Inputs!$C$26)-Reference!J$10*($A135*1000-Inputs!$C$26)/1000)</f>
        <v>-178.469740181065</v>
      </c>
      <c r="K135" s="17" t="n">
        <f aca="false">IF(COUNT(B135:J135)&lt;9,"",10*LOG10(SUMPRODUCT(10^((B135:J135+Reference!$B$7:$J$7)/10))))</f>
        <v>59.4890245126937</v>
      </c>
      <c r="L135" s="17" t="n">
        <f aca="false">IF(COUNT(B135:J135)&lt;9,"",10*LOG10(SUMPRODUCT(10^((B135:J135+Reference!$B$8:$J$8)/10))))</f>
        <v>79.7443867414447</v>
      </c>
      <c r="M135" s="17" t="n">
        <f aca="false">IF(ISNUMBER(K135),Inputs!$B$12-K135,"")</f>
        <v>-24.4890245126937</v>
      </c>
      <c r="N135" s="8" t="str">
        <f aca="false">IF(ISNUMBER(M135),IF(M135&gt;=0,"yes","no"),"")</f>
        <v>no</v>
      </c>
    </row>
    <row r="136" customFormat="false" ht="15" hidden="false" customHeight="false" outlineLevel="0" collapsed="false">
      <c r="A136" s="20" t="n">
        <f aca="false">Inputs!$A$18</f>
        <v>3</v>
      </c>
      <c r="B136" s="17" t="n">
        <f aca="false">IF(OR(Inputs!$B$26="",Inputs!$C$26=""),"",Inputs!B$32+Inputs!$B$26-Inputs!$K$32-20*LOG10($A136*1000/Inputs!$C$26)-Reference!B$10*($A136*1000-Inputs!$C$26)/1000)</f>
        <v>72.002436003471</v>
      </c>
      <c r="C136" s="17" t="n">
        <f aca="false">IF(OR(Inputs!$B$26="",Inputs!$C$26=""),"",Inputs!C$32+Inputs!$B$26-Inputs!$K$32-20*LOG10($A136*1000/Inputs!$C$26)-Reference!C$10*($A136*1000-Inputs!$C$26)/1000)</f>
        <v>75.7370412089568</v>
      </c>
      <c r="D136" s="17" t="n">
        <f aca="false">IF(OR(Inputs!$B$26="",Inputs!$C$26=""),"",Inputs!D$32+Inputs!$B$26-Inputs!$K$32-20*LOG10($A136*1000/Inputs!$C$26)-Reference!D$10*($A136*1000-Inputs!$C$26)/1000)</f>
        <v>59.8808290442461</v>
      </c>
      <c r="E136" s="17" t="n">
        <f aca="false">IF(OR(Inputs!$B$26="",Inputs!$C$26=""),"",Inputs!E$32+Inputs!$B$26-Inputs!$K$32-20*LOG10($A136*1000/Inputs!$C$26)-Reference!E$10*($A136*1000-Inputs!$C$26)/1000)</f>
        <v>56.008874512324</v>
      </c>
      <c r="F136" s="17" t="n">
        <f aca="false">IF(OR(Inputs!$B$26="",Inputs!$C$26=""),"",Inputs!F$32+Inputs!$B$26-Inputs!$K$32-20*LOG10($A136*1000/Inputs!$C$26)-Reference!F$10*($A136*1000-Inputs!$C$26)/1000)</f>
        <v>51.3907700123536</v>
      </c>
      <c r="G136" s="17" t="n">
        <f aca="false">IF(OR(Inputs!$B$26="",Inputs!$C$26=""),"",Inputs!G$32+Inputs!$B$26-Inputs!$K$32-20*LOG10($A136*1000/Inputs!$C$26)-Reference!G$10*($A136*1000-Inputs!$C$26)/1000)</f>
        <v>46.270492102597</v>
      </c>
      <c r="H136" s="17" t="n">
        <f aca="false">IF(OR(Inputs!$B$26="",Inputs!$C$26=""),"",Inputs!H$32+Inputs!$B$26-Inputs!$K$32-20*LOG10($A136*1000/Inputs!$C$26)-Reference!H$10*($A136*1000-Inputs!$C$26)/1000)</f>
        <v>24.4919635602719</v>
      </c>
      <c r="I136" s="17" t="n">
        <f aca="false">IF(OR(Inputs!$B$26="",Inputs!$C$26=""),"",Inputs!I$32+Inputs!$B$26-Inputs!$K$32-20*LOG10($A136*1000/Inputs!$C$26)-Reference!I$10*($A136*1000-Inputs!$C$26)/1000)</f>
        <v>-47.9023418078018</v>
      </c>
      <c r="J136" s="17" t="n">
        <f aca="false">IF(OR(Inputs!$B$26="",Inputs!$C$26=""),"",Inputs!J$32+Inputs!$B$26-Inputs!$K$32-20*LOG10($A136*1000/Inputs!$C$26)-Reference!J$10*($A136*1000-Inputs!$C$26)/1000)</f>
        <v>-298.873609853779</v>
      </c>
      <c r="K136" s="17" t="n">
        <f aca="false">IF(COUNT(B136:J136)&lt;9,"",10*LOG10(SUMPRODUCT(10^((B136:J136+Reference!$B$7:$J$7)/10))))</f>
        <v>54.4611355650785</v>
      </c>
      <c r="L136" s="17" t="n">
        <f aca="false">IF(COUNT(B136:J136)&lt;9,"",10*LOG10(SUMPRODUCT(10^((B136:J136+Reference!$B$8:$J$8)/10))))</f>
        <v>76.087809936387</v>
      </c>
      <c r="M136" s="17" t="n">
        <f aca="false">IF(ISNUMBER(K136),Inputs!$B$12-K136,"")</f>
        <v>-19.4611355650785</v>
      </c>
      <c r="N136" s="8" t="str">
        <f aca="false">IF(ISNUMBER(M136),IF(M136&gt;=0,"yes","no"),"")</f>
        <v>no</v>
      </c>
    </row>
    <row r="137" customFormat="false" ht="15" hidden="false" customHeight="false" outlineLevel="0" collapsed="false">
      <c r="A137" s="20" t="n">
        <f aca="false">Inputs!$A$19</f>
        <v>5</v>
      </c>
      <c r="B137" s="17" t="n">
        <f aca="false">IF(OR(Inputs!$B$26="",Inputs!$C$26=""),"",Inputs!B$32+Inputs!$B$26-Inputs!$K$32-20*LOG10($A137*1000/Inputs!$C$26)-Reference!B$10*($A137*1000-Inputs!$C$26)/1000)</f>
        <v>67.5014030125703</v>
      </c>
      <c r="C137" s="17" t="n">
        <f aca="false">IF(OR(Inputs!$B$26="",Inputs!$C$26=""),"",Inputs!C$32+Inputs!$B$26-Inputs!$K$32-20*LOG10($A137*1000/Inputs!$C$26)-Reference!C$10*($A137*1000-Inputs!$C$26)/1000)</f>
        <v>71.056687410952</v>
      </c>
      <c r="D137" s="17" t="n">
        <f aca="false">IF(OR(Inputs!$B$26="",Inputs!$C$26=""),"",Inputs!D$32+Inputs!$B$26-Inputs!$K$32-20*LOG10($A137*1000/Inputs!$C$26)-Reference!D$10*($A137*1000-Inputs!$C$26)/1000)</f>
        <v>54.6219535133286</v>
      </c>
      <c r="E137" s="17" t="n">
        <f aca="false">IF(OR(Inputs!$B$26="",Inputs!$C$26=""),"",Inputs!E$32+Inputs!$B$26-Inputs!$K$32-20*LOG10($A137*1000/Inputs!$C$26)-Reference!E$10*($A137*1000-Inputs!$C$26)/1000)</f>
        <v>49.485164838216</v>
      </c>
      <c r="F137" s="17" t="n">
        <f aca="false">IF(OR(Inputs!$B$26="",Inputs!$C$26=""),"",Inputs!F$32+Inputs!$B$26-Inputs!$K$32-20*LOG10($A137*1000/Inputs!$C$26)-Reference!F$10*($A137*1000-Inputs!$C$26)/1000)</f>
        <v>43.0980708112384</v>
      </c>
      <c r="G137" s="17" t="n">
        <f aca="false">IF(OR(Inputs!$B$26="",Inputs!$C$26=""),"",Inputs!G$32+Inputs!$B$26-Inputs!$K$32-20*LOG10($A137*1000/Inputs!$C$26)-Reference!G$10*($A137*1000-Inputs!$C$26)/1000)</f>
        <v>34.5181456651599</v>
      </c>
      <c r="H137" s="17" t="n">
        <f aca="false">IF(OR(Inputs!$B$26="",Inputs!$C$26=""),"",Inputs!H$32+Inputs!$B$26-Inputs!$K$32-20*LOG10($A137*1000/Inputs!$C$26)-Reference!H$10*($A137*1000-Inputs!$C$26)/1000)</f>
        <v>0.727097837479896</v>
      </c>
      <c r="I137" s="17" t="n">
        <f aca="false">IF(OR(Inputs!$B$26="",Inputs!$C$26=""),"",Inputs!I$32+Inputs!$B$26-Inputs!$K$32-20*LOG10($A137*1000/Inputs!$C$26)-Reference!I$10*($A137*1000-Inputs!$C$26)/1000)</f>
        <v>-117.879576022535</v>
      </c>
      <c r="J137" s="17" t="n">
        <f aca="false">IF(OR(Inputs!$B$26="",Inputs!$C$26=""),"",Inputs!J$32+Inputs!$B$26-Inputs!$K$32-20*LOG10($A137*1000/Inputs!$C$26)-Reference!J$10*($A137*1000-Inputs!$C$26)/1000)</f>
        <v>-537.074673829309</v>
      </c>
      <c r="K137" s="17" t="n">
        <f aca="false">IF(COUNT(B137:J137)&lt;9,"",10*LOG10(SUMPRODUCT(10^((B137:J137+Reference!$B$7:$J$7)/10))))</f>
        <v>48.0084071274546</v>
      </c>
      <c r="L137" s="17" t="n">
        <f aca="false">IF(COUNT(B137:J137)&lt;9,"",10*LOG10(SUMPRODUCT(10^((B137:J137+Reference!$B$8:$J$8)/10))))</f>
        <v>71.4041481295777</v>
      </c>
      <c r="M137" s="17" t="n">
        <f aca="false">IF(ISNUMBER(K137),Inputs!$B$12-K137,"")</f>
        <v>-13.0084071274546</v>
      </c>
      <c r="N137" s="8" t="str">
        <f aca="false">IF(ISNUMBER(M137),IF(M137&gt;=0,"yes","no"),"")</f>
        <v>no</v>
      </c>
    </row>
    <row r="138" customFormat="false" ht="15" hidden="false" customHeight="false" outlineLevel="0" collapsed="false">
      <c r="A138" s="20" t="n">
        <f aca="false">Inputs!$A$20</f>
        <v>10</v>
      </c>
      <c r="B138" s="17" t="n">
        <f aca="false">IF(OR(Inputs!$B$26="",Inputs!$C$26=""),"",Inputs!B$32+Inputs!$B$26-Inputs!$K$32-20*LOG10($A138*1000/Inputs!$C$26)-Reference!B$10*($A138*1000-Inputs!$C$26)/1000)</f>
        <v>61.3206581028568</v>
      </c>
      <c r="C138" s="17" t="n">
        <f aca="false">IF(OR(Inputs!$B$26="",Inputs!$C$26=""),"",Inputs!C$32+Inputs!$B$26-Inputs!$K$32-20*LOG10($A138*1000/Inputs!$C$26)-Reference!C$10*($A138*1000-Inputs!$C$26)/1000)</f>
        <v>64.4276404834781</v>
      </c>
      <c r="D138" s="17" t="n">
        <f aca="false">IF(OR(Inputs!$B$26="",Inputs!$C$26=""),"",Inputs!D$32+Inputs!$B$26-Inputs!$K$32-20*LOG10($A138*1000/Inputs!$C$26)-Reference!D$10*($A138*1000-Inputs!$C$26)/1000)</f>
        <v>46.5466022535731</v>
      </c>
      <c r="E138" s="17" t="n">
        <f aca="false">IF(OR(Inputs!$B$26="",Inputs!$C$26=""),"",Inputs!E$32+Inputs!$B$26-Inputs!$K$32-20*LOG10($A138*1000/Inputs!$C$26)-Reference!E$10*($A138*1000-Inputs!$C$26)/1000)</f>
        <v>38.247728220484</v>
      </c>
      <c r="F138" s="17" t="n">
        <f aca="false">IF(OR(Inputs!$B$26="",Inputs!$C$26=""),"",Inputs!F$32+Inputs!$B$26-Inputs!$K$32-20*LOG10($A138*1000/Inputs!$C$26)-Reference!F$10*($A138*1000-Inputs!$C$26)/1000)</f>
        <v>27.4381603759888</v>
      </c>
      <c r="G138" s="17" t="n">
        <f aca="false">IF(OR(Inputs!$B$26="",Inputs!$C$26=""),"",Inputs!G$32+Inputs!$B$26-Inputs!$K$32-20*LOG10($A138*1000/Inputs!$C$26)-Reference!G$10*($A138*1000-Inputs!$C$26)/1000)</f>
        <v>10.2091171391052</v>
      </c>
      <c r="H138" s="17" t="n">
        <f aca="false">IF(OR(Inputs!$B$26="",Inputs!$C$26=""),"",Inputs!H$32+Inputs!$B$26-Inputs!$K$32-20*LOG10($A138*1000/Inputs!$C$26)-Reference!H$10*($A138*1000-Inputs!$C$26)/1000)</f>
        <v>-53.6132289019618</v>
      </c>
      <c r="I138" s="17" t="n">
        <f aca="false">IF(OR(Inputs!$B$26="",Inputs!$C$26=""),"",Inputs!I$32+Inputs!$B$26-Inputs!$K$32-20*LOG10($A138*1000/Inputs!$C$26)-Reference!I$10*($A138*1000-Inputs!$C$26)/1000)</f>
        <v>-287.750823991831</v>
      </c>
      <c r="J138" s="17" t="n">
        <f aca="false">IF(OR(Inputs!$B$26="",Inputs!$C$26=""),"",Inputs!J$32+Inputs!$B$26-Inputs!$K$32-20*LOG10($A138*1000/Inputs!$C$26)-Reference!J$10*($A138*1000-Inputs!$C$26)/1000)</f>
        <v>-1127.50549620059</v>
      </c>
      <c r="K138" s="17" t="n">
        <f aca="false">IF(COUNT(B138:J138)&lt;9,"",10*LOG10(SUMPRODUCT(10^((B138:J138+Reference!$B$7:$J$7)/10))))</f>
        <v>39.5956490436575</v>
      </c>
      <c r="L138" s="17" t="n">
        <f aca="false">IF(COUNT(B138:J138)&lt;9,"",10*LOG10(SUMPRODUCT(10^((B138:J138+Reference!$B$8:$J$8)/10))))</f>
        <v>64.8218213775476</v>
      </c>
      <c r="M138" s="17" t="n">
        <f aca="false">IF(ISNUMBER(K138),Inputs!$B$12-K138,"")</f>
        <v>-4.59564904365752</v>
      </c>
      <c r="N138" s="8" t="str">
        <f aca="false">IF(ISNUMBER(M138),IF(M138&gt;=0,"yes","no"),"")</f>
        <v>no</v>
      </c>
    </row>
    <row r="139" customFormat="false" ht="15" hidden="false" customHeight="false" outlineLevel="0" collapsed="false">
      <c r="A139" s="7" t="s">
        <v>124</v>
      </c>
    </row>
    <row r="140" customFormat="false" ht="23.85" hidden="false" customHeight="false" outlineLevel="0" collapsed="false">
      <c r="A140" s="13" t="s">
        <v>114</v>
      </c>
      <c r="B140" s="13" t="s">
        <v>64</v>
      </c>
      <c r="C140" s="13" t="s">
        <v>65</v>
      </c>
      <c r="D140" s="13" t="s">
        <v>66</v>
      </c>
      <c r="E140" s="13" t="s">
        <v>67</v>
      </c>
      <c r="F140" s="13" t="s">
        <v>68</v>
      </c>
      <c r="G140" s="13" t="s">
        <v>69</v>
      </c>
      <c r="H140" s="13" t="s">
        <v>70</v>
      </c>
      <c r="I140" s="13" t="s">
        <v>71</v>
      </c>
      <c r="J140" s="13" t="s">
        <v>72</v>
      </c>
      <c r="K140" s="13" t="s">
        <v>125</v>
      </c>
      <c r="L140" s="13" t="s">
        <v>88</v>
      </c>
    </row>
    <row r="141" customFormat="false" ht="15" hidden="false" customHeight="false" outlineLevel="0" collapsed="false">
      <c r="A141" s="17" t="n">
        <f aca="false">A133</f>
        <v>0.5</v>
      </c>
      <c r="B141" s="17" t="n">
        <f aca="false">IF(ISNUMBER(B133),Reference!B$9-B133,"")</f>
        <v>-28.1455335093608</v>
      </c>
      <c r="C141" s="17" t="n">
        <f aca="false">IF(ISNUMBER(C133),Reference!C$9-C133,"")</f>
        <v>-54.1042897237268</v>
      </c>
      <c r="D141" s="17" t="n">
        <f aca="false">IF(ISNUMBER(D133),Reference!D$9-D133,"")</f>
        <v>-54.3712297251569</v>
      </c>
      <c r="E141" s="17" t="n">
        <f aca="false">IF(ISNUMBER(E133),Reference!E$9-E133,"")</f>
        <v>-62.7803178722231</v>
      </c>
      <c r="F141" s="17" t="n">
        <f aca="false">IF(ISNUMBER(F133),Reference!F$9-F133,"")</f>
        <v>-67.3734502810114</v>
      </c>
      <c r="G141" s="17" t="n">
        <f aca="false">IF(ISNUMBER(G133),Reference!G$9-G133,"")</f>
        <v>-68.5777314166574</v>
      </c>
      <c r="H141" s="17" t="n">
        <f aca="false">IF(ISNUMBER(H133),Reference!H$9-H133,"")</f>
        <v>-65.5148519810258</v>
      </c>
      <c r="I141" s="17" t="n">
        <f aca="false">IF(ISNUMBER(I133),Reference!I$9-I133,"")</f>
        <v>-54.9860072278792</v>
      </c>
      <c r="J141" s="17" t="n">
        <f aca="false">IF(ISNUMBER(J133),Reference!J$9-J133,"")</f>
        <v>3.70547361710381</v>
      </c>
      <c r="K141" s="17" t="n">
        <f aca="false">IF(COUNT(B141:J141)=0,"",MIN(B141:J141))</f>
        <v>-68.5777314166574</v>
      </c>
      <c r="L141" s="8" t="str">
        <f aca="false">IF(COUNT(B141:J141)&lt;9,"",IF(K141&gt;=0,"yes","no"))</f>
        <v>no</v>
      </c>
    </row>
    <row r="142" customFormat="false" ht="15" hidden="false" customHeight="false" outlineLevel="0" collapsed="false">
      <c r="A142" s="17" t="n">
        <f aca="false">A134</f>
        <v>1</v>
      </c>
      <c r="B142" s="17" t="n">
        <f aca="false">IF(ISNUMBER(B134),Reference!B$9-B134,"")</f>
        <v>-22.1089190964378</v>
      </c>
      <c r="C142" s="17" t="n">
        <f aca="false">IF(ISNUMBER(C134),Reference!C$9-C134,"")</f>
        <v>-48.0228451090278</v>
      </c>
      <c r="D142" s="17" t="n">
        <f aca="false">IF(ISNUMBER(D134),Reference!D$9-D134,"")</f>
        <v>-48.1451546772297</v>
      </c>
      <c r="E142" s="17" t="n">
        <f aca="false">IF(ISNUMBER(E134),Reference!E$9-E134,"")</f>
        <v>-56.2380342884982</v>
      </c>
      <c r="F142" s="17" t="n">
        <f aca="false">IF(ISNUMBER(F134),Reference!F$9-F134,"")</f>
        <v>-60.3889193155348</v>
      </c>
      <c r="G142" s="17" t="n">
        <f aca="false">IF(ISNUMBER(G134),Reference!G$9-G134,"")</f>
        <v>-60.7282886421003</v>
      </c>
      <c r="H142" s="17" t="n">
        <f aca="false">IF(ISNUMBER(H134),Reference!H$9-H134,"")</f>
        <v>-54.6622793851299</v>
      </c>
      <c r="I142" s="17" t="n">
        <f aca="false">IF(ISNUMBER(I134),Reference!I$9-I134,"")</f>
        <v>-32.580342508998</v>
      </c>
      <c r="J142" s="17" t="n">
        <f aca="false">IF(ISNUMBER(J134),Reference!J$9-J134,"")</f>
        <v>68.167095776184</v>
      </c>
      <c r="K142" s="17" t="n">
        <f aca="false">IF(COUNT(B142:J142)=0,"",MIN(B142:J142))</f>
        <v>-60.7282886421003</v>
      </c>
      <c r="L142" s="8" t="str">
        <f aca="false">IF(COUNT(B142:J142)&lt;9,"",IF(K142&gt;=0,"yes","no"))</f>
        <v>no</v>
      </c>
    </row>
    <row r="143" customFormat="false" ht="15" hidden="false" customHeight="false" outlineLevel="0" collapsed="false">
      <c r="A143" s="17" t="n">
        <f aca="false">A135</f>
        <v>2</v>
      </c>
      <c r="B143" s="17" t="n">
        <f aca="false">IF(ISNUMBER(B135),Reference!B$9-B135,"")</f>
        <v>-16.0562901838714</v>
      </c>
      <c r="C143" s="17" t="n">
        <f aca="false">IF(ISNUMBER(C135),Reference!C$9-C135,"")</f>
        <v>-41.8805557929093</v>
      </c>
      <c r="D143" s="17" t="n">
        <f aca="false">IF(ISNUMBER(D135),Reference!D$9-D135,"")</f>
        <v>-41.7136044946549</v>
      </c>
      <c r="E143" s="17" t="n">
        <f aca="false">IF(ISNUMBER(E135),Reference!E$9-E135,"")</f>
        <v>-49.1740670343281</v>
      </c>
      <c r="F143" s="17" t="n">
        <f aca="false">IF(ISNUMBER(F135),Reference!F$9-F135,"")</f>
        <v>-52.4404572978612</v>
      </c>
      <c r="G143" s="17" t="n">
        <f aca="false">IF(ISNUMBER(G135),Reference!G$9-G135,"")</f>
        <v>-51.0500030062656</v>
      </c>
      <c r="H143" s="17" t="n">
        <f aca="false">IF(ISNUMBER(H135),Reference!H$9-H135,"")</f>
        <v>-38.9777341066179</v>
      </c>
      <c r="I143" s="17" t="n">
        <f aca="false">IF(ISNUMBER(I135),Reference!I$9-I135,"")</f>
        <v>6.2103870154849</v>
      </c>
      <c r="J143" s="17" t="n">
        <f aca="false">IF(ISNUMBER(J135),Reference!J$9-J135,"")</f>
        <v>191.069740181065</v>
      </c>
      <c r="K143" s="17" t="n">
        <f aca="false">IF(COUNT(B143:J143)=0,"",MIN(B143:J143))</f>
        <v>-52.4404572978612</v>
      </c>
      <c r="L143" s="8" t="str">
        <f aca="false">IF(COUNT(B143:J143)&lt;9,"",IF(K143&gt;=0,"yes","no"))</f>
        <v>no</v>
      </c>
    </row>
    <row r="144" customFormat="false" ht="15" hidden="false" customHeight="false" outlineLevel="0" collapsed="false">
      <c r="A144" s="17" t="n">
        <f aca="false">A136</f>
        <v>3</v>
      </c>
      <c r="B144" s="17" t="n">
        <f aca="false">IF(ISNUMBER(B136),Reference!B$9-B136,"")</f>
        <v>-12.502436003471</v>
      </c>
      <c r="C144" s="17" t="n">
        <f aca="false">IF(ISNUMBER(C136),Reference!C$9-C136,"")</f>
        <v>-38.2370412089568</v>
      </c>
      <c r="D144" s="17" t="n">
        <f aca="false">IF(ISNUMBER(D136),Reference!D$9-D136,"")</f>
        <v>-37.7808290442461</v>
      </c>
      <c r="E144" s="17" t="n">
        <f aca="false">IF(ISNUMBER(E136),Reference!E$9-E136,"")</f>
        <v>-44.608874512324</v>
      </c>
      <c r="F144" s="17" t="n">
        <f aca="false">IF(ISNUMBER(F136),Reference!F$9-F136,"")</f>
        <v>-46.9907700123536</v>
      </c>
      <c r="G144" s="17" t="n">
        <f aca="false">IF(ISNUMBER(G136),Reference!G$9-G136,"")</f>
        <v>-43.870492102597</v>
      </c>
      <c r="H144" s="17" t="n">
        <f aca="false">IF(ISNUMBER(H136),Reference!H$9-H136,"")</f>
        <v>-25.7919635602719</v>
      </c>
      <c r="I144" s="17" t="n">
        <f aca="false">IF(ISNUMBER(I136),Reference!I$9-I136,"")</f>
        <v>42.5023418078018</v>
      </c>
      <c r="J144" s="17" t="n">
        <f aca="false">IF(ISNUMBER(J136),Reference!J$9-J136,"")</f>
        <v>311.473609853779</v>
      </c>
      <c r="K144" s="17" t="n">
        <f aca="false">IF(COUNT(B144:J144)=0,"",MIN(B144:J144))</f>
        <v>-46.9907700123536</v>
      </c>
      <c r="L144" s="8" t="str">
        <f aca="false">IF(COUNT(B144:J144)&lt;9,"",IF(K144&gt;=0,"yes","no"))</f>
        <v>no</v>
      </c>
    </row>
    <row r="145" customFormat="false" ht="15" hidden="false" customHeight="false" outlineLevel="0" collapsed="false">
      <c r="A145" s="17" t="n">
        <f aca="false">A137</f>
        <v>5</v>
      </c>
      <c r="B145" s="17" t="n">
        <f aca="false">IF(ISNUMBER(B137),Reference!B$9-B137,"")</f>
        <v>-8.00140301257029</v>
      </c>
      <c r="C145" s="17" t="n">
        <f aca="false">IF(ISNUMBER(C137),Reference!C$9-C137,"")</f>
        <v>-33.556687410952</v>
      </c>
      <c r="D145" s="17" t="n">
        <f aca="false">IF(ISNUMBER(D137),Reference!D$9-D137,"")</f>
        <v>-32.5219535133286</v>
      </c>
      <c r="E145" s="17" t="n">
        <f aca="false">IF(ISNUMBER(E137),Reference!E$9-E137,"")</f>
        <v>-38.085164838216</v>
      </c>
      <c r="F145" s="17" t="n">
        <f aca="false">IF(ISNUMBER(F137),Reference!F$9-F137,"")</f>
        <v>-38.6980708112384</v>
      </c>
      <c r="G145" s="17" t="n">
        <f aca="false">IF(ISNUMBER(G137),Reference!G$9-G137,"")</f>
        <v>-32.1181456651599</v>
      </c>
      <c r="H145" s="17" t="n">
        <f aca="false">IF(ISNUMBER(H137),Reference!H$9-H137,"")</f>
        <v>-2.0270978374799</v>
      </c>
      <c r="I145" s="17" t="n">
        <f aca="false">IF(ISNUMBER(I137),Reference!I$9-I137,"")</f>
        <v>112.479576022535</v>
      </c>
      <c r="J145" s="17" t="n">
        <f aca="false">IF(ISNUMBER(J137),Reference!J$9-J137,"")</f>
        <v>549.674673829309</v>
      </c>
      <c r="K145" s="17" t="n">
        <f aca="false">IF(COUNT(B145:J145)=0,"",MIN(B145:J145))</f>
        <v>-38.6980708112384</v>
      </c>
      <c r="L145" s="8" t="str">
        <f aca="false">IF(COUNT(B145:J145)&lt;9,"",IF(K145&gt;=0,"yes","no"))</f>
        <v>no</v>
      </c>
    </row>
    <row r="146" customFormat="false" ht="15" hidden="false" customHeight="false" outlineLevel="0" collapsed="false">
      <c r="A146" s="17" t="n">
        <f aca="false">A138</f>
        <v>10</v>
      </c>
      <c r="B146" s="17" t="n">
        <f aca="false">IF(ISNUMBER(B138),Reference!B$9-B138,"")</f>
        <v>-1.8206581028568</v>
      </c>
      <c r="C146" s="17" t="n">
        <f aca="false">IF(ISNUMBER(C138),Reference!C$9-C138,"")</f>
        <v>-26.9276404834781</v>
      </c>
      <c r="D146" s="17" t="n">
        <f aca="false">IF(ISNUMBER(D138),Reference!D$9-D138,"")</f>
        <v>-24.4466022535731</v>
      </c>
      <c r="E146" s="17" t="n">
        <f aca="false">IF(ISNUMBER(E138),Reference!E$9-E138,"")</f>
        <v>-26.847728220484</v>
      </c>
      <c r="F146" s="17" t="n">
        <f aca="false">IF(ISNUMBER(F138),Reference!F$9-F138,"")</f>
        <v>-23.0381603759888</v>
      </c>
      <c r="G146" s="17" t="n">
        <f aca="false">IF(ISNUMBER(G138),Reference!G$9-G138,"")</f>
        <v>-7.80911713910522</v>
      </c>
      <c r="H146" s="17" t="n">
        <f aca="false">IF(ISNUMBER(H138),Reference!H$9-H138,"")</f>
        <v>52.3132289019618</v>
      </c>
      <c r="I146" s="17" t="n">
        <f aca="false">IF(ISNUMBER(I138),Reference!I$9-I138,"")</f>
        <v>282.350823991831</v>
      </c>
      <c r="J146" s="17" t="n">
        <f aca="false">IF(ISNUMBER(J138),Reference!J$9-J138,"")</f>
        <v>1140.10549620059</v>
      </c>
      <c r="K146" s="17" t="n">
        <f aca="false">IF(COUNT(B146:J146)=0,"",MIN(B146:J146))</f>
        <v>-26.9276404834781</v>
      </c>
      <c r="L146" s="8" t="str">
        <f aca="false">IF(COUNT(B146:J146)&lt;9,"",IF(K146&gt;=0,"yes","no"))</f>
        <v>no</v>
      </c>
    </row>
    <row r="148" customFormat="false" ht="15" hidden="false" customHeight="false" outlineLevel="0" collapsed="false">
      <c r="A148" s="26" t="str">
        <f aca="false">"Class: "&amp;Inputs!A26&amp;"   Character: "&amp;Inputs!A33</f>
        <v>Class: Large   Character: Very bass heavy</v>
      </c>
    </row>
    <row r="149" customFormat="false" ht="15" hidden="false" customHeight="false" outlineLevel="0" collapsed="false">
      <c r="A149" s="7" t="s">
        <v>120</v>
      </c>
    </row>
    <row r="150" customFormat="false" ht="23.85" hidden="false" customHeight="false" outlineLevel="0" collapsed="false">
      <c r="A150" s="13" t="s">
        <v>114</v>
      </c>
      <c r="B150" s="13" t="s">
        <v>64</v>
      </c>
      <c r="C150" s="13" t="s">
        <v>65</v>
      </c>
      <c r="D150" s="13" t="s">
        <v>66</v>
      </c>
      <c r="E150" s="13" t="s">
        <v>67</v>
      </c>
      <c r="F150" s="13" t="s">
        <v>68</v>
      </c>
      <c r="G150" s="13" t="s">
        <v>69</v>
      </c>
      <c r="H150" s="13" t="s">
        <v>70</v>
      </c>
      <c r="I150" s="13" t="s">
        <v>71</v>
      </c>
      <c r="J150" s="13" t="s">
        <v>72</v>
      </c>
      <c r="K150" s="13" t="s">
        <v>121</v>
      </c>
      <c r="L150" s="13" t="s">
        <v>122</v>
      </c>
      <c r="M150" s="13" t="s">
        <v>86</v>
      </c>
      <c r="N150" s="13" t="s">
        <v>123</v>
      </c>
    </row>
    <row r="151" customFormat="false" ht="15" hidden="false" customHeight="false" outlineLevel="0" collapsed="false">
      <c r="A151" s="20" t="n">
        <f aca="false">Inputs!$A$15</f>
        <v>0.5</v>
      </c>
      <c r="B151" s="17" t="n">
        <f aca="false">IF(OR(Inputs!$B$26="",Inputs!$C$26=""),"",Inputs!B$33+Inputs!$B$26-Inputs!$K$33-20*LOG10($A151*1000/Inputs!$C$26)-Reference!B$10*($A151*1000-Inputs!$C$26)/1000)</f>
        <v>89.8347739365161</v>
      </c>
      <c r="C151" s="17" t="n">
        <f aca="false">IF(OR(Inputs!$B$26="",Inputs!$C$26=""),"",Inputs!C$33+Inputs!$B$26-Inputs!$K$33-20*LOG10($A151*1000/Inputs!$C$26)-Reference!C$10*($A151*1000-Inputs!$C$26)/1000)</f>
        <v>94.7935301508822</v>
      </c>
      <c r="D151" s="17" t="n">
        <f aca="false">IF(OR(Inputs!$B$26="",Inputs!$C$26=""),"",Inputs!D$33+Inputs!$B$26-Inputs!$K$33-20*LOG10($A151*1000/Inputs!$C$26)-Reference!D$10*($A151*1000-Inputs!$C$26)/1000)</f>
        <v>79.6604701523122</v>
      </c>
      <c r="E151" s="17" t="n">
        <f aca="false">IF(OR(Inputs!$B$26="",Inputs!$C$26=""),"",Inputs!E$33+Inputs!$B$26-Inputs!$K$33-20*LOG10($A151*1000/Inputs!$C$26)-Reference!E$10*($A151*1000-Inputs!$C$26)/1000)</f>
        <v>74.3695582993784</v>
      </c>
      <c r="F151" s="17" t="n">
        <f aca="false">IF(OR(Inputs!$B$26="",Inputs!$C$26=""),"",Inputs!F$33+Inputs!$B$26-Inputs!$K$33-20*LOG10($A151*1000/Inputs!$C$26)-Reference!F$10*($A151*1000-Inputs!$C$26)/1000)</f>
        <v>71.9626907081668</v>
      </c>
      <c r="G151" s="17" t="n">
        <f aca="false">IF(OR(Inputs!$B$26="",Inputs!$C$26=""),"",Inputs!G$33+Inputs!$B$26-Inputs!$K$33-20*LOG10($A151*1000/Inputs!$C$26)-Reference!G$10*($A151*1000-Inputs!$C$26)/1000)</f>
        <v>70.1669718438127</v>
      </c>
      <c r="H151" s="17" t="n">
        <f aca="false">IF(OR(Inputs!$B$26="",Inputs!$C$26=""),"",Inputs!H$33+Inputs!$B$26-Inputs!$K$33-20*LOG10($A151*1000/Inputs!$C$26)-Reference!H$10*($A151*1000-Inputs!$C$26)/1000)</f>
        <v>63.4040924081811</v>
      </c>
      <c r="I151" s="17" t="n">
        <f aca="false">IF(OR(Inputs!$B$26="",Inputs!$C$26=""),"",Inputs!I$33+Inputs!$B$26-Inputs!$K$33-20*LOG10($A151*1000/Inputs!$C$26)-Reference!I$10*($A151*1000-Inputs!$C$26)/1000)</f>
        <v>48.7752476550345</v>
      </c>
      <c r="J151" s="17" t="n">
        <f aca="false">IF(OR(Inputs!$B$26="",Inputs!$C$26=""),"",Inputs!J$33+Inputs!$B$26-Inputs!$K$33-20*LOG10($A151*1000/Inputs!$C$26)-Reference!J$10*($A151*1000-Inputs!$C$26)/1000)</f>
        <v>8.08376681005153</v>
      </c>
      <c r="K151" s="17" t="n">
        <f aca="false">IF(COUNT(B151:J151)&lt;9,"",10*LOG10(SUMPRODUCT(10^((B151:J151+Reference!$B$7:$J$7)/10))))</f>
        <v>75.3509282373705</v>
      </c>
      <c r="L151" s="17" t="n">
        <f aca="false">IF(COUNT(B151:J151)&lt;9,"",10*LOG10(SUMPRODUCT(10^((B151:J151+Reference!$B$8:$J$8)/10))))</f>
        <v>94.9617545199736</v>
      </c>
      <c r="M151" s="17" t="n">
        <f aca="false">IF(ISNUMBER(K151),Inputs!$B$12-K151,"")</f>
        <v>-40.3509282373705</v>
      </c>
      <c r="N151" s="8" t="str">
        <f aca="false">IF(ISNUMBER(M151),IF(M151&gt;=0,"yes","no"),"")</f>
        <v>no</v>
      </c>
    </row>
    <row r="152" customFormat="false" ht="15" hidden="false" customHeight="false" outlineLevel="0" collapsed="false">
      <c r="A152" s="20" t="n">
        <f aca="false">Inputs!$A$16</f>
        <v>1</v>
      </c>
      <c r="B152" s="17" t="n">
        <f aca="false">IF(OR(Inputs!$B$26="",Inputs!$C$26=""),"",Inputs!B$33+Inputs!$B$26-Inputs!$K$33-20*LOG10($A152*1000/Inputs!$C$26)-Reference!B$10*($A152*1000-Inputs!$C$26)/1000)</f>
        <v>83.7981595235931</v>
      </c>
      <c r="C152" s="17" t="n">
        <f aca="false">IF(OR(Inputs!$B$26="",Inputs!$C$26=""),"",Inputs!C$33+Inputs!$B$26-Inputs!$K$33-20*LOG10($A152*1000/Inputs!$C$26)-Reference!C$10*($A152*1000-Inputs!$C$26)/1000)</f>
        <v>88.7120855361831</v>
      </c>
      <c r="D152" s="17" t="n">
        <f aca="false">IF(OR(Inputs!$B$26="",Inputs!$C$26=""),"",Inputs!D$33+Inputs!$B$26-Inputs!$K$33-20*LOG10($A152*1000/Inputs!$C$26)-Reference!D$10*($A152*1000-Inputs!$C$26)/1000)</f>
        <v>73.434395104385</v>
      </c>
      <c r="E152" s="17" t="n">
        <f aca="false">IF(OR(Inputs!$B$26="",Inputs!$C$26=""),"",Inputs!E$33+Inputs!$B$26-Inputs!$K$33-20*LOG10($A152*1000/Inputs!$C$26)-Reference!E$10*($A152*1000-Inputs!$C$26)/1000)</f>
        <v>67.8272747156535</v>
      </c>
      <c r="F152" s="17" t="n">
        <f aca="false">IF(OR(Inputs!$B$26="",Inputs!$C$26=""),"",Inputs!F$33+Inputs!$B$26-Inputs!$K$33-20*LOG10($A152*1000/Inputs!$C$26)-Reference!F$10*($A152*1000-Inputs!$C$26)/1000)</f>
        <v>64.9781597426902</v>
      </c>
      <c r="G152" s="17" t="n">
        <f aca="false">IF(OR(Inputs!$B$26="",Inputs!$C$26=""),"",Inputs!G$33+Inputs!$B$26-Inputs!$K$33-20*LOG10($A152*1000/Inputs!$C$26)-Reference!G$10*($A152*1000-Inputs!$C$26)/1000)</f>
        <v>62.3175290692556</v>
      </c>
      <c r="H152" s="17" t="n">
        <f aca="false">IF(OR(Inputs!$B$26="",Inputs!$C$26=""),"",Inputs!H$33+Inputs!$B$26-Inputs!$K$33-20*LOG10($A152*1000/Inputs!$C$26)-Reference!H$10*($A152*1000-Inputs!$C$26)/1000)</f>
        <v>52.5515198122853</v>
      </c>
      <c r="I152" s="17" t="n">
        <f aca="false">IF(OR(Inputs!$B$26="",Inputs!$C$26=""),"",Inputs!I$33+Inputs!$B$26-Inputs!$K$33-20*LOG10($A152*1000/Inputs!$C$26)-Reference!I$10*($A152*1000-Inputs!$C$26)/1000)</f>
        <v>26.3695829361533</v>
      </c>
      <c r="J152" s="17" t="n">
        <f aca="false">IF(OR(Inputs!$B$26="",Inputs!$C$26=""),"",Inputs!J$33+Inputs!$B$26-Inputs!$K$33-20*LOG10($A152*1000/Inputs!$C$26)-Reference!J$10*($A152*1000-Inputs!$C$26)/1000)</f>
        <v>-56.3778553490286</v>
      </c>
      <c r="K152" s="17" t="n">
        <f aca="false">IF(COUNT(B152:J152)&lt;9,"",10*LOG10(SUMPRODUCT(10^((B152:J152+Reference!$B$7:$J$7)/10))))</f>
        <v>68.2203188977525</v>
      </c>
      <c r="L152" s="17" t="n">
        <f aca="false">IF(COUNT(B152:J152)&lt;9,"",10*LOG10(SUMPRODUCT(10^((B152:J152+Reference!$B$8:$J$8)/10))))</f>
        <v>88.8684880595586</v>
      </c>
      <c r="M152" s="17" t="n">
        <f aca="false">IF(ISNUMBER(K152),Inputs!$B$12-K152,"")</f>
        <v>-33.2203188977525</v>
      </c>
      <c r="N152" s="8" t="str">
        <f aca="false">IF(ISNUMBER(M152),IF(M152&gt;=0,"yes","no"),"")</f>
        <v>no</v>
      </c>
    </row>
    <row r="153" customFormat="false" ht="15" hidden="false" customHeight="false" outlineLevel="0" collapsed="false">
      <c r="A153" s="20" t="n">
        <f aca="false">Inputs!$A$17</f>
        <v>2</v>
      </c>
      <c r="B153" s="17" t="n">
        <f aca="false">IF(OR(Inputs!$B$26="",Inputs!$C$26=""),"",Inputs!B$33+Inputs!$B$26-Inputs!$K$33-20*LOG10($A153*1000/Inputs!$C$26)-Reference!B$10*($A153*1000-Inputs!$C$26)/1000)</f>
        <v>77.7455306110267</v>
      </c>
      <c r="C153" s="17" t="n">
        <f aca="false">IF(OR(Inputs!$B$26="",Inputs!$C$26=""),"",Inputs!C$33+Inputs!$B$26-Inputs!$K$33-20*LOG10($A153*1000/Inputs!$C$26)-Reference!C$10*($A153*1000-Inputs!$C$26)/1000)</f>
        <v>82.5697962200646</v>
      </c>
      <c r="D153" s="17" t="n">
        <f aca="false">IF(OR(Inputs!$B$26="",Inputs!$C$26=""),"",Inputs!D$33+Inputs!$B$26-Inputs!$K$33-20*LOG10($A153*1000/Inputs!$C$26)-Reference!D$10*($A153*1000-Inputs!$C$26)/1000)</f>
        <v>67.0028449218102</v>
      </c>
      <c r="E153" s="17" t="n">
        <f aca="false">IF(OR(Inputs!$B$26="",Inputs!$C$26=""),"",Inputs!E$33+Inputs!$B$26-Inputs!$K$33-20*LOG10($A153*1000/Inputs!$C$26)-Reference!E$10*($A153*1000-Inputs!$C$26)/1000)</f>
        <v>60.7633074614835</v>
      </c>
      <c r="F153" s="17" t="n">
        <f aca="false">IF(OR(Inputs!$B$26="",Inputs!$C$26=""),"",Inputs!F$33+Inputs!$B$26-Inputs!$K$33-20*LOG10($A153*1000/Inputs!$C$26)-Reference!F$10*($A153*1000-Inputs!$C$26)/1000)</f>
        <v>57.0296977250165</v>
      </c>
      <c r="G153" s="17" t="n">
        <f aca="false">IF(OR(Inputs!$B$26="",Inputs!$C$26=""),"",Inputs!G$33+Inputs!$B$26-Inputs!$K$33-20*LOG10($A153*1000/Inputs!$C$26)-Reference!G$10*($A153*1000-Inputs!$C$26)/1000)</f>
        <v>52.639243433421</v>
      </c>
      <c r="H153" s="17" t="n">
        <f aca="false">IF(OR(Inputs!$B$26="",Inputs!$C$26=""),"",Inputs!H$33+Inputs!$B$26-Inputs!$K$33-20*LOG10($A153*1000/Inputs!$C$26)-Reference!H$10*($A153*1000-Inputs!$C$26)/1000)</f>
        <v>36.8669745337732</v>
      </c>
      <c r="I153" s="17" t="n">
        <f aca="false">IF(OR(Inputs!$B$26="",Inputs!$C$26=""),"",Inputs!I$33+Inputs!$B$26-Inputs!$K$33-20*LOG10($A153*1000/Inputs!$C$26)-Reference!I$10*($A153*1000-Inputs!$C$26)/1000)</f>
        <v>-12.4211465883296</v>
      </c>
      <c r="J153" s="17" t="n">
        <f aca="false">IF(OR(Inputs!$B$26="",Inputs!$C$26=""),"",Inputs!J$33+Inputs!$B$26-Inputs!$K$33-20*LOG10($A153*1000/Inputs!$C$26)-Reference!J$10*($A153*1000-Inputs!$C$26)/1000)</f>
        <v>-179.280499753909</v>
      </c>
      <c r="K153" s="17" t="n">
        <f aca="false">IF(COUNT(B153:J153)&lt;9,"",10*LOG10(SUMPRODUCT(10^((B153:J153+Reference!$B$7:$J$7)/10))))</f>
        <v>60.6428999807902</v>
      </c>
      <c r="L153" s="17" t="n">
        <f aca="false">IF(COUNT(B153:J153)&lt;9,"",10*LOG10(SUMPRODUCT(10^((B153:J153+Reference!$B$8:$J$8)/10))))</f>
        <v>82.7138789081699</v>
      </c>
      <c r="M153" s="17" t="n">
        <f aca="false">IF(ISNUMBER(K153),Inputs!$B$12-K153,"")</f>
        <v>-25.6428999807902</v>
      </c>
      <c r="N153" s="8" t="str">
        <f aca="false">IF(ISNUMBER(M153),IF(M153&gt;=0,"yes","no"),"")</f>
        <v>no</v>
      </c>
    </row>
    <row r="154" customFormat="false" ht="15" hidden="false" customHeight="false" outlineLevel="0" collapsed="false">
      <c r="A154" s="20" t="n">
        <f aca="false">Inputs!$A$18</f>
        <v>3</v>
      </c>
      <c r="B154" s="17" t="n">
        <f aca="false">IF(OR(Inputs!$B$26="",Inputs!$C$26=""),"",Inputs!B$33+Inputs!$B$26-Inputs!$K$33-20*LOG10($A154*1000/Inputs!$C$26)-Reference!B$10*($A154*1000-Inputs!$C$26)/1000)</f>
        <v>74.1916764306263</v>
      </c>
      <c r="C154" s="17" t="n">
        <f aca="false">IF(OR(Inputs!$B$26="",Inputs!$C$26=""),"",Inputs!C$33+Inputs!$B$26-Inputs!$K$33-20*LOG10($A154*1000/Inputs!$C$26)-Reference!C$10*($A154*1000-Inputs!$C$26)/1000)</f>
        <v>78.9262816361122</v>
      </c>
      <c r="D154" s="17" t="n">
        <f aca="false">IF(OR(Inputs!$B$26="",Inputs!$C$26=""),"",Inputs!D$33+Inputs!$B$26-Inputs!$K$33-20*LOG10($A154*1000/Inputs!$C$26)-Reference!D$10*($A154*1000-Inputs!$C$26)/1000)</f>
        <v>63.0700694714014</v>
      </c>
      <c r="E154" s="17" t="n">
        <f aca="false">IF(OR(Inputs!$B$26="",Inputs!$C$26=""),"",Inputs!E$33+Inputs!$B$26-Inputs!$K$33-20*LOG10($A154*1000/Inputs!$C$26)-Reference!E$10*($A154*1000-Inputs!$C$26)/1000)</f>
        <v>56.1981149394794</v>
      </c>
      <c r="F154" s="17" t="n">
        <f aca="false">IF(OR(Inputs!$B$26="",Inputs!$C$26=""),"",Inputs!F$33+Inputs!$B$26-Inputs!$K$33-20*LOG10($A154*1000/Inputs!$C$26)-Reference!F$10*($A154*1000-Inputs!$C$26)/1000)</f>
        <v>51.5800104395089</v>
      </c>
      <c r="G154" s="17" t="n">
        <f aca="false">IF(OR(Inputs!$B$26="",Inputs!$C$26=""),"",Inputs!G$33+Inputs!$B$26-Inputs!$K$33-20*LOG10($A154*1000/Inputs!$C$26)-Reference!G$10*($A154*1000-Inputs!$C$26)/1000)</f>
        <v>45.4597325297523</v>
      </c>
      <c r="H154" s="17" t="n">
        <f aca="false">IF(OR(Inputs!$B$26="",Inputs!$C$26=""),"",Inputs!H$33+Inputs!$B$26-Inputs!$K$33-20*LOG10($A154*1000/Inputs!$C$26)-Reference!H$10*($A154*1000-Inputs!$C$26)/1000)</f>
        <v>23.6812039874272</v>
      </c>
      <c r="I154" s="17" t="n">
        <f aca="false">IF(OR(Inputs!$B$26="",Inputs!$C$26=""),"",Inputs!I$33+Inputs!$B$26-Inputs!$K$33-20*LOG10($A154*1000/Inputs!$C$26)-Reference!I$10*($A154*1000-Inputs!$C$26)/1000)</f>
        <v>-48.7131013806464</v>
      </c>
      <c r="J154" s="17" t="n">
        <f aca="false">IF(OR(Inputs!$B$26="",Inputs!$C$26=""),"",Inputs!J$33+Inputs!$B$26-Inputs!$K$33-20*LOG10($A154*1000/Inputs!$C$26)-Reference!J$10*($A154*1000-Inputs!$C$26)/1000)</f>
        <v>-299.684369426624</v>
      </c>
      <c r="K154" s="17" t="n">
        <f aca="false">IF(COUNT(B154:J154)&lt;9,"",10*LOG10(SUMPRODUCT(10^((B154:J154+Reference!$B$7:$J$7)/10))))</f>
        <v>56.0419758592388</v>
      </c>
      <c r="L154" s="17" t="n">
        <f aca="false">IF(COUNT(B154:J154)&lt;9,"",10*LOG10(SUMPRODUCT(10^((B154:J154+Reference!$B$8:$J$8)/10))))</f>
        <v>79.0658850944699</v>
      </c>
      <c r="M154" s="17" t="n">
        <f aca="false">IF(ISNUMBER(K154),Inputs!$B$12-K154,"")</f>
        <v>-21.0419758592388</v>
      </c>
      <c r="N154" s="8" t="str">
        <f aca="false">IF(ISNUMBER(M154),IF(M154&gt;=0,"yes","no"),"")</f>
        <v>no</v>
      </c>
    </row>
    <row r="155" customFormat="false" ht="15" hidden="false" customHeight="false" outlineLevel="0" collapsed="false">
      <c r="A155" s="20" t="n">
        <f aca="false">Inputs!$A$19</f>
        <v>5</v>
      </c>
      <c r="B155" s="17" t="n">
        <f aca="false">IF(OR(Inputs!$B$26="",Inputs!$C$26=""),"",Inputs!B$33+Inputs!$B$26-Inputs!$K$33-20*LOG10($A155*1000/Inputs!$C$26)-Reference!B$10*($A155*1000-Inputs!$C$26)/1000)</f>
        <v>69.6906434397256</v>
      </c>
      <c r="C155" s="17" t="n">
        <f aca="false">IF(OR(Inputs!$B$26="",Inputs!$C$26=""),"",Inputs!C$33+Inputs!$B$26-Inputs!$K$33-20*LOG10($A155*1000/Inputs!$C$26)-Reference!C$10*($A155*1000-Inputs!$C$26)/1000)</f>
        <v>74.2459278381073</v>
      </c>
      <c r="D155" s="17" t="n">
        <f aca="false">IF(OR(Inputs!$B$26="",Inputs!$C$26=""),"",Inputs!D$33+Inputs!$B$26-Inputs!$K$33-20*LOG10($A155*1000/Inputs!$C$26)-Reference!D$10*($A155*1000-Inputs!$C$26)/1000)</f>
        <v>57.8111939404839</v>
      </c>
      <c r="E155" s="17" t="n">
        <f aca="false">IF(OR(Inputs!$B$26="",Inputs!$C$26=""),"",Inputs!E$33+Inputs!$B$26-Inputs!$K$33-20*LOG10($A155*1000/Inputs!$C$26)-Reference!E$10*($A155*1000-Inputs!$C$26)/1000)</f>
        <v>49.6744052653713</v>
      </c>
      <c r="F155" s="17" t="n">
        <f aca="false">IF(OR(Inputs!$B$26="",Inputs!$C$26=""),"",Inputs!F$33+Inputs!$B$26-Inputs!$K$33-20*LOG10($A155*1000/Inputs!$C$26)-Reference!F$10*($A155*1000-Inputs!$C$26)/1000)</f>
        <v>43.2873112383938</v>
      </c>
      <c r="G155" s="17" t="n">
        <f aca="false">IF(OR(Inputs!$B$26="",Inputs!$C$26=""),"",Inputs!G$33+Inputs!$B$26-Inputs!$K$33-20*LOG10($A155*1000/Inputs!$C$26)-Reference!G$10*($A155*1000-Inputs!$C$26)/1000)</f>
        <v>33.7073860923152</v>
      </c>
      <c r="H155" s="17" t="n">
        <f aca="false">IF(OR(Inputs!$B$26="",Inputs!$C$26=""),"",Inputs!H$33+Inputs!$B$26-Inputs!$K$33-20*LOG10($A155*1000/Inputs!$C$26)-Reference!H$10*($A155*1000-Inputs!$C$26)/1000)</f>
        <v>-0.083661735364764</v>
      </c>
      <c r="I155" s="17" t="n">
        <f aca="false">IF(OR(Inputs!$B$26="",Inputs!$C$26=""),"",Inputs!I$33+Inputs!$B$26-Inputs!$K$33-20*LOG10($A155*1000/Inputs!$C$26)-Reference!I$10*($A155*1000-Inputs!$C$26)/1000)</f>
        <v>-118.69033559538</v>
      </c>
      <c r="J155" s="17" t="n">
        <f aca="false">IF(OR(Inputs!$B$26="",Inputs!$C$26=""),"",Inputs!J$33+Inputs!$B$26-Inputs!$K$33-20*LOG10($A155*1000/Inputs!$C$26)-Reference!J$10*($A155*1000-Inputs!$C$26)/1000)</f>
        <v>-537.885433402153</v>
      </c>
      <c r="K155" s="17" t="n">
        <f aca="false">IF(COUNT(B155:J155)&lt;9,"",10*LOG10(SUMPRODUCT(10^((B155:J155+Reference!$B$7:$J$7)/10))))</f>
        <v>50.2129014914893</v>
      </c>
      <c r="L155" s="17" t="n">
        <f aca="false">IF(COUNT(B155:J155)&lt;9,"",10*LOG10(SUMPRODUCT(10^((B155:J155+Reference!$B$8:$J$8)/10))))</f>
        <v>74.3887224737467</v>
      </c>
      <c r="M155" s="17" t="n">
        <f aca="false">IF(ISNUMBER(K155),Inputs!$B$12-K155,"")</f>
        <v>-15.2129014914893</v>
      </c>
      <c r="N155" s="8" t="str">
        <f aca="false">IF(ISNUMBER(M155),IF(M155&gt;=0,"yes","no"),"")</f>
        <v>no</v>
      </c>
    </row>
    <row r="156" customFormat="false" ht="15" hidden="false" customHeight="false" outlineLevel="0" collapsed="false">
      <c r="A156" s="20" t="n">
        <f aca="false">Inputs!$A$20</f>
        <v>10</v>
      </c>
      <c r="B156" s="17" t="n">
        <f aca="false">IF(OR(Inputs!$B$26="",Inputs!$C$26=""),"",Inputs!B$33+Inputs!$B$26-Inputs!$K$33-20*LOG10($A156*1000/Inputs!$C$26)-Reference!B$10*($A156*1000-Inputs!$C$26)/1000)</f>
        <v>63.5098985300121</v>
      </c>
      <c r="C156" s="17" t="n">
        <f aca="false">IF(OR(Inputs!$B$26="",Inputs!$C$26=""),"",Inputs!C$33+Inputs!$B$26-Inputs!$K$33-20*LOG10($A156*1000/Inputs!$C$26)-Reference!C$10*($A156*1000-Inputs!$C$26)/1000)</f>
        <v>67.6168809106335</v>
      </c>
      <c r="D156" s="17" t="n">
        <f aca="false">IF(OR(Inputs!$B$26="",Inputs!$C$26=""),"",Inputs!D$33+Inputs!$B$26-Inputs!$K$33-20*LOG10($A156*1000/Inputs!$C$26)-Reference!D$10*($A156*1000-Inputs!$C$26)/1000)</f>
        <v>49.7358426807284</v>
      </c>
      <c r="E156" s="17" t="n">
        <f aca="false">IF(OR(Inputs!$B$26="",Inputs!$C$26=""),"",Inputs!E$33+Inputs!$B$26-Inputs!$K$33-20*LOG10($A156*1000/Inputs!$C$26)-Reference!E$10*($A156*1000-Inputs!$C$26)/1000)</f>
        <v>38.4369686476393</v>
      </c>
      <c r="F156" s="17" t="n">
        <f aca="false">IF(OR(Inputs!$B$26="",Inputs!$C$26=""),"",Inputs!F$33+Inputs!$B$26-Inputs!$K$33-20*LOG10($A156*1000/Inputs!$C$26)-Reference!F$10*($A156*1000-Inputs!$C$26)/1000)</f>
        <v>27.6274008031441</v>
      </c>
      <c r="G156" s="17" t="n">
        <f aca="false">IF(OR(Inputs!$B$26="",Inputs!$C$26=""),"",Inputs!G$33+Inputs!$B$26-Inputs!$K$33-20*LOG10($A156*1000/Inputs!$C$26)-Reference!G$10*($A156*1000-Inputs!$C$26)/1000)</f>
        <v>9.39835756626057</v>
      </c>
      <c r="H156" s="17" t="n">
        <f aca="false">IF(OR(Inputs!$B$26="",Inputs!$C$26=""),"",Inputs!H$33+Inputs!$B$26-Inputs!$K$33-20*LOG10($A156*1000/Inputs!$C$26)-Reference!H$10*($A156*1000-Inputs!$C$26)/1000)</f>
        <v>-54.4239884748065</v>
      </c>
      <c r="I156" s="17" t="n">
        <f aca="false">IF(OR(Inputs!$B$26="",Inputs!$C$26=""),"",Inputs!I$33+Inputs!$B$26-Inputs!$K$33-20*LOG10($A156*1000/Inputs!$C$26)-Reference!I$10*($A156*1000-Inputs!$C$26)/1000)</f>
        <v>-288.561583564676</v>
      </c>
      <c r="J156" s="17" t="n">
        <f aca="false">IF(OR(Inputs!$B$26="",Inputs!$C$26=""),"",Inputs!J$33+Inputs!$B$26-Inputs!$K$33-20*LOG10($A156*1000/Inputs!$C$26)-Reference!J$10*($A156*1000-Inputs!$C$26)/1000)</f>
        <v>-1128.31625577344</v>
      </c>
      <c r="K156" s="17" t="n">
        <f aca="false">IF(COUNT(B156:J156)&lt;9,"",10*LOG10(SUMPRODUCT(10^((B156:J156+Reference!$B$7:$J$7)/10))))</f>
        <v>42.4733755040207</v>
      </c>
      <c r="L156" s="17" t="n">
        <f aca="false">IF(COUNT(B156:J156)&lt;9,"",10*LOG10(SUMPRODUCT(10^((B156:J156+Reference!$B$8:$J$8)/10))))</f>
        <v>67.8009751536909</v>
      </c>
      <c r="M156" s="17" t="n">
        <f aca="false">IF(ISNUMBER(K156),Inputs!$B$12-K156,"")</f>
        <v>-7.47337550402066</v>
      </c>
      <c r="N156" s="8" t="str">
        <f aca="false">IF(ISNUMBER(M156),IF(M156&gt;=0,"yes","no"),"")</f>
        <v>no</v>
      </c>
    </row>
    <row r="157" customFormat="false" ht="15" hidden="false" customHeight="false" outlineLevel="0" collapsed="false">
      <c r="A157" s="7" t="s">
        <v>124</v>
      </c>
    </row>
    <row r="158" customFormat="false" ht="23.85" hidden="false" customHeight="false" outlineLevel="0" collapsed="false">
      <c r="A158" s="13" t="s">
        <v>114</v>
      </c>
      <c r="B158" s="13" t="s">
        <v>64</v>
      </c>
      <c r="C158" s="13" t="s">
        <v>65</v>
      </c>
      <c r="D158" s="13" t="s">
        <v>66</v>
      </c>
      <c r="E158" s="13" t="s">
        <v>67</v>
      </c>
      <c r="F158" s="13" t="s">
        <v>68</v>
      </c>
      <c r="G158" s="13" t="s">
        <v>69</v>
      </c>
      <c r="H158" s="13" t="s">
        <v>70</v>
      </c>
      <c r="I158" s="13" t="s">
        <v>71</v>
      </c>
      <c r="J158" s="13" t="s">
        <v>72</v>
      </c>
      <c r="K158" s="13" t="s">
        <v>125</v>
      </c>
      <c r="L158" s="13" t="s">
        <v>88</v>
      </c>
    </row>
    <row r="159" customFormat="false" ht="15" hidden="false" customHeight="false" outlineLevel="0" collapsed="false">
      <c r="A159" s="17" t="n">
        <f aca="false">A151</f>
        <v>0.5</v>
      </c>
      <c r="B159" s="17" t="n">
        <f aca="false">IF(ISNUMBER(B151),Reference!B$9-B151,"")</f>
        <v>-30.3347739365161</v>
      </c>
      <c r="C159" s="17" t="n">
        <f aca="false">IF(ISNUMBER(C151),Reference!C$9-C151,"")</f>
        <v>-57.2935301508822</v>
      </c>
      <c r="D159" s="17" t="n">
        <f aca="false">IF(ISNUMBER(D151),Reference!D$9-D151,"")</f>
        <v>-57.5604701523122</v>
      </c>
      <c r="E159" s="17" t="n">
        <f aca="false">IF(ISNUMBER(E151),Reference!E$9-E151,"")</f>
        <v>-62.9695582993784</v>
      </c>
      <c r="F159" s="17" t="n">
        <f aca="false">IF(ISNUMBER(F151),Reference!F$9-F151,"")</f>
        <v>-67.5626907081668</v>
      </c>
      <c r="G159" s="17" t="n">
        <f aca="false">IF(ISNUMBER(G151),Reference!G$9-G151,"")</f>
        <v>-67.7669718438127</v>
      </c>
      <c r="H159" s="17" t="n">
        <f aca="false">IF(ISNUMBER(H151),Reference!H$9-H151,"")</f>
        <v>-64.7040924081811</v>
      </c>
      <c r="I159" s="17" t="n">
        <f aca="false">IF(ISNUMBER(I151),Reference!I$9-I151,"")</f>
        <v>-54.1752476550345</v>
      </c>
      <c r="J159" s="17" t="n">
        <f aca="false">IF(ISNUMBER(J151),Reference!J$9-J151,"")</f>
        <v>4.51623318994847</v>
      </c>
      <c r="K159" s="17" t="n">
        <f aca="false">IF(COUNT(B159:J159)=0,"",MIN(B159:J159))</f>
        <v>-67.7669718438127</v>
      </c>
      <c r="L159" s="8" t="str">
        <f aca="false">IF(COUNT(B159:J159)&lt;9,"",IF(K159&gt;=0,"yes","no"))</f>
        <v>no</v>
      </c>
    </row>
    <row r="160" customFormat="false" ht="15" hidden="false" customHeight="false" outlineLevel="0" collapsed="false">
      <c r="A160" s="17" t="n">
        <f aca="false">A152</f>
        <v>1</v>
      </c>
      <c r="B160" s="17" t="n">
        <f aca="false">IF(ISNUMBER(B152),Reference!B$9-B152,"")</f>
        <v>-24.2981595235931</v>
      </c>
      <c r="C160" s="17" t="n">
        <f aca="false">IF(ISNUMBER(C152),Reference!C$9-C152,"")</f>
        <v>-51.2120855361831</v>
      </c>
      <c r="D160" s="17" t="n">
        <f aca="false">IF(ISNUMBER(D152),Reference!D$9-D152,"")</f>
        <v>-51.334395104385</v>
      </c>
      <c r="E160" s="17" t="n">
        <f aca="false">IF(ISNUMBER(E152),Reference!E$9-E152,"")</f>
        <v>-56.4272747156535</v>
      </c>
      <c r="F160" s="17" t="n">
        <f aca="false">IF(ISNUMBER(F152),Reference!F$9-F152,"")</f>
        <v>-60.5781597426902</v>
      </c>
      <c r="G160" s="17" t="n">
        <f aca="false">IF(ISNUMBER(G152),Reference!G$9-G152,"")</f>
        <v>-59.9175290692556</v>
      </c>
      <c r="H160" s="17" t="n">
        <f aca="false">IF(ISNUMBER(H152),Reference!H$9-H152,"")</f>
        <v>-53.8515198122853</v>
      </c>
      <c r="I160" s="17" t="n">
        <f aca="false">IF(ISNUMBER(I152),Reference!I$9-I152,"")</f>
        <v>-31.7695829361533</v>
      </c>
      <c r="J160" s="17" t="n">
        <f aca="false">IF(ISNUMBER(J152),Reference!J$9-J152,"")</f>
        <v>68.9778553490286</v>
      </c>
      <c r="K160" s="17" t="n">
        <f aca="false">IF(COUNT(B160:J160)=0,"",MIN(B160:J160))</f>
        <v>-60.5781597426902</v>
      </c>
      <c r="L160" s="8" t="str">
        <f aca="false">IF(COUNT(B160:J160)&lt;9,"",IF(K160&gt;=0,"yes","no"))</f>
        <v>no</v>
      </c>
    </row>
    <row r="161" customFormat="false" ht="15" hidden="false" customHeight="false" outlineLevel="0" collapsed="false">
      <c r="A161" s="17" t="n">
        <f aca="false">A153</f>
        <v>2</v>
      </c>
      <c r="B161" s="17" t="n">
        <f aca="false">IF(ISNUMBER(B153),Reference!B$9-B153,"")</f>
        <v>-18.2455306110267</v>
      </c>
      <c r="C161" s="17" t="n">
        <f aca="false">IF(ISNUMBER(C153),Reference!C$9-C153,"")</f>
        <v>-45.0697962200646</v>
      </c>
      <c r="D161" s="17" t="n">
        <f aca="false">IF(ISNUMBER(D153),Reference!D$9-D153,"")</f>
        <v>-44.9028449218102</v>
      </c>
      <c r="E161" s="17" t="n">
        <f aca="false">IF(ISNUMBER(E153),Reference!E$9-E153,"")</f>
        <v>-49.3633074614835</v>
      </c>
      <c r="F161" s="17" t="n">
        <f aca="false">IF(ISNUMBER(F153),Reference!F$9-F153,"")</f>
        <v>-52.6296977250165</v>
      </c>
      <c r="G161" s="17" t="n">
        <f aca="false">IF(ISNUMBER(G153),Reference!G$9-G153,"")</f>
        <v>-50.239243433421</v>
      </c>
      <c r="H161" s="17" t="n">
        <f aca="false">IF(ISNUMBER(H153),Reference!H$9-H153,"")</f>
        <v>-38.1669745337732</v>
      </c>
      <c r="I161" s="17" t="n">
        <f aca="false">IF(ISNUMBER(I153),Reference!I$9-I153,"")</f>
        <v>7.02114658832956</v>
      </c>
      <c r="J161" s="17" t="n">
        <f aca="false">IF(ISNUMBER(J153),Reference!J$9-J153,"")</f>
        <v>191.880499753909</v>
      </c>
      <c r="K161" s="17" t="n">
        <f aca="false">IF(COUNT(B161:J161)=0,"",MIN(B161:J161))</f>
        <v>-52.6296977250165</v>
      </c>
      <c r="L161" s="8" t="str">
        <f aca="false">IF(COUNT(B161:J161)&lt;9,"",IF(K161&gt;=0,"yes","no"))</f>
        <v>no</v>
      </c>
    </row>
    <row r="162" customFormat="false" ht="15" hidden="false" customHeight="false" outlineLevel="0" collapsed="false">
      <c r="A162" s="17" t="n">
        <f aca="false">A154</f>
        <v>3</v>
      </c>
      <c r="B162" s="17" t="n">
        <f aca="false">IF(ISNUMBER(B154),Reference!B$9-B154,"")</f>
        <v>-14.6916764306263</v>
      </c>
      <c r="C162" s="17" t="n">
        <f aca="false">IF(ISNUMBER(C154),Reference!C$9-C154,"")</f>
        <v>-41.4262816361122</v>
      </c>
      <c r="D162" s="17" t="n">
        <f aca="false">IF(ISNUMBER(D154),Reference!D$9-D154,"")</f>
        <v>-40.9700694714014</v>
      </c>
      <c r="E162" s="17" t="n">
        <f aca="false">IF(ISNUMBER(E154),Reference!E$9-E154,"")</f>
        <v>-44.7981149394794</v>
      </c>
      <c r="F162" s="17" t="n">
        <f aca="false">IF(ISNUMBER(F154),Reference!F$9-F154,"")</f>
        <v>-47.1800104395089</v>
      </c>
      <c r="G162" s="17" t="n">
        <f aca="false">IF(ISNUMBER(G154),Reference!G$9-G154,"")</f>
        <v>-43.0597325297523</v>
      </c>
      <c r="H162" s="17" t="n">
        <f aca="false">IF(ISNUMBER(H154),Reference!H$9-H154,"")</f>
        <v>-24.9812039874272</v>
      </c>
      <c r="I162" s="17" t="n">
        <f aca="false">IF(ISNUMBER(I154),Reference!I$9-I154,"")</f>
        <v>43.3131013806464</v>
      </c>
      <c r="J162" s="17" t="n">
        <f aca="false">IF(ISNUMBER(J154),Reference!J$9-J154,"")</f>
        <v>312.284369426624</v>
      </c>
      <c r="K162" s="17" t="n">
        <f aca="false">IF(COUNT(B162:J162)=0,"",MIN(B162:J162))</f>
        <v>-47.1800104395089</v>
      </c>
      <c r="L162" s="8" t="str">
        <f aca="false">IF(COUNT(B162:J162)&lt;9,"",IF(K162&gt;=0,"yes","no"))</f>
        <v>no</v>
      </c>
    </row>
    <row r="163" customFormat="false" ht="15" hidden="false" customHeight="false" outlineLevel="0" collapsed="false">
      <c r="A163" s="17" t="n">
        <f aca="false">A155</f>
        <v>5</v>
      </c>
      <c r="B163" s="17" t="n">
        <f aca="false">IF(ISNUMBER(B155),Reference!B$9-B155,"")</f>
        <v>-10.1906434397256</v>
      </c>
      <c r="C163" s="17" t="n">
        <f aca="false">IF(ISNUMBER(C155),Reference!C$9-C155,"")</f>
        <v>-36.7459278381073</v>
      </c>
      <c r="D163" s="17" t="n">
        <f aca="false">IF(ISNUMBER(D155),Reference!D$9-D155,"")</f>
        <v>-35.7111939404839</v>
      </c>
      <c r="E163" s="17" t="n">
        <f aca="false">IF(ISNUMBER(E155),Reference!E$9-E155,"")</f>
        <v>-38.2744052653713</v>
      </c>
      <c r="F163" s="17" t="n">
        <f aca="false">IF(ISNUMBER(F155),Reference!F$9-F155,"")</f>
        <v>-38.8873112383938</v>
      </c>
      <c r="G163" s="17" t="n">
        <f aca="false">IF(ISNUMBER(G155),Reference!G$9-G155,"")</f>
        <v>-31.3073860923152</v>
      </c>
      <c r="H163" s="17" t="n">
        <f aca="false">IF(ISNUMBER(H155),Reference!H$9-H155,"")</f>
        <v>-1.21633826463524</v>
      </c>
      <c r="I163" s="17" t="n">
        <f aca="false">IF(ISNUMBER(I155),Reference!I$9-I155,"")</f>
        <v>113.29033559538</v>
      </c>
      <c r="J163" s="17" t="n">
        <f aca="false">IF(ISNUMBER(J155),Reference!J$9-J155,"")</f>
        <v>550.485433402153</v>
      </c>
      <c r="K163" s="17" t="n">
        <f aca="false">IF(COUNT(B163:J163)=0,"",MIN(B163:J163))</f>
        <v>-38.8873112383938</v>
      </c>
      <c r="L163" s="8" t="str">
        <f aca="false">IF(COUNT(B163:J163)&lt;9,"",IF(K163&gt;=0,"yes","no"))</f>
        <v>no</v>
      </c>
    </row>
    <row r="164" customFormat="false" ht="15" hidden="false" customHeight="false" outlineLevel="0" collapsed="false">
      <c r="A164" s="17" t="n">
        <f aca="false">A156</f>
        <v>10</v>
      </c>
      <c r="B164" s="17" t="n">
        <f aca="false">IF(ISNUMBER(B156),Reference!B$9-B156,"")</f>
        <v>-4.00989853001214</v>
      </c>
      <c r="C164" s="17" t="n">
        <f aca="false">IF(ISNUMBER(C156),Reference!C$9-C156,"")</f>
        <v>-30.1168809106335</v>
      </c>
      <c r="D164" s="17" t="n">
        <f aca="false">IF(ISNUMBER(D156),Reference!D$9-D156,"")</f>
        <v>-27.6358426807284</v>
      </c>
      <c r="E164" s="17" t="n">
        <f aca="false">IF(ISNUMBER(E156),Reference!E$9-E156,"")</f>
        <v>-27.0369686476393</v>
      </c>
      <c r="F164" s="17" t="n">
        <f aca="false">IF(ISNUMBER(F156),Reference!F$9-F156,"")</f>
        <v>-23.2274008031441</v>
      </c>
      <c r="G164" s="17" t="n">
        <f aca="false">IF(ISNUMBER(G156),Reference!G$9-G156,"")</f>
        <v>-6.99835756626056</v>
      </c>
      <c r="H164" s="17" t="n">
        <f aca="false">IF(ISNUMBER(H156),Reference!H$9-H156,"")</f>
        <v>53.1239884748065</v>
      </c>
      <c r="I164" s="17" t="n">
        <f aca="false">IF(ISNUMBER(I156),Reference!I$9-I156,"")</f>
        <v>283.161583564676</v>
      </c>
      <c r="J164" s="17" t="n">
        <f aca="false">IF(ISNUMBER(J156),Reference!J$9-J156,"")</f>
        <v>1140.91625577344</v>
      </c>
      <c r="K164" s="17" t="n">
        <f aca="false">IF(COUNT(B164:J164)=0,"",MIN(B164:J164))</f>
        <v>-30.1168809106335</v>
      </c>
      <c r="L164" s="8" t="str">
        <f aca="false">IF(COUNT(B164:J164)&lt;9,"",IF(K164&gt;=0,"yes","no"))</f>
        <v>no</v>
      </c>
    </row>
    <row r="166" customFormat="false" ht="15" hidden="false" customHeight="false" outlineLevel="0" collapsed="false">
      <c r="A166" s="26" t="str">
        <f aca="false">"Class: "&amp;Inputs!A27&amp;"   Character: "&amp;Inputs!A31</f>
        <v>Class: Custom (measured)   Character: Balanced</v>
      </c>
    </row>
    <row r="167" customFormat="false" ht="15" hidden="false" customHeight="false" outlineLevel="0" collapsed="false">
      <c r="A167" s="7" t="s">
        <v>120</v>
      </c>
    </row>
    <row r="168" customFormat="false" ht="23.85" hidden="false" customHeight="false" outlineLevel="0" collapsed="false">
      <c r="A168" s="13" t="s">
        <v>114</v>
      </c>
      <c r="B168" s="13" t="s">
        <v>64</v>
      </c>
      <c r="C168" s="13" t="s">
        <v>65</v>
      </c>
      <c r="D168" s="13" t="s">
        <v>66</v>
      </c>
      <c r="E168" s="13" t="s">
        <v>67</v>
      </c>
      <c r="F168" s="13" t="s">
        <v>68</v>
      </c>
      <c r="G168" s="13" t="s">
        <v>69</v>
      </c>
      <c r="H168" s="13" t="s">
        <v>70</v>
      </c>
      <c r="I168" s="13" t="s">
        <v>71</v>
      </c>
      <c r="J168" s="13" t="s">
        <v>72</v>
      </c>
      <c r="K168" s="13" t="s">
        <v>121</v>
      </c>
      <c r="L168" s="13" t="s">
        <v>122</v>
      </c>
      <c r="M168" s="13" t="s">
        <v>86</v>
      </c>
      <c r="N168" s="13" t="s">
        <v>123</v>
      </c>
    </row>
    <row r="169" customFormat="false" ht="15" hidden="false" customHeight="false" outlineLevel="0" collapsed="false">
      <c r="A169" s="20" t="n">
        <f aca="false">Inputs!$A$15</f>
        <v>0.5</v>
      </c>
      <c r="B169" s="17" t="str">
        <f aca="false">IF(OR(Inputs!$B$27="",Inputs!$C$27=""),"",Inputs!B$31+Inputs!$B$27-Inputs!$K$31-20*LOG10($A169*1000/Inputs!$C$27)-Reference!B$10*($A169*1000-Inputs!$C$27)/1000)</f>
        <v/>
      </c>
      <c r="C169" s="17" t="str">
        <f aca="false">IF(OR(Inputs!$B$27="",Inputs!$C$27=""),"",Inputs!C$31+Inputs!$B$27-Inputs!$K$31-20*LOG10($A169*1000/Inputs!$C$27)-Reference!C$10*($A169*1000-Inputs!$C$27)/1000)</f>
        <v/>
      </c>
      <c r="D169" s="17" t="str">
        <f aca="false">IF(OR(Inputs!$B$27="",Inputs!$C$27=""),"",Inputs!D$31+Inputs!$B$27-Inputs!$K$31-20*LOG10($A169*1000/Inputs!$C$27)-Reference!D$10*($A169*1000-Inputs!$C$27)/1000)</f>
        <v/>
      </c>
      <c r="E169" s="17" t="str">
        <f aca="false">IF(OR(Inputs!$B$27="",Inputs!$C$27=""),"",Inputs!E$31+Inputs!$B$27-Inputs!$K$31-20*LOG10($A169*1000/Inputs!$C$27)-Reference!E$10*($A169*1000-Inputs!$C$27)/1000)</f>
        <v/>
      </c>
      <c r="F169" s="17" t="str">
        <f aca="false">IF(OR(Inputs!$B$27="",Inputs!$C$27=""),"",Inputs!F$31+Inputs!$B$27-Inputs!$K$31-20*LOG10($A169*1000/Inputs!$C$27)-Reference!F$10*($A169*1000-Inputs!$C$27)/1000)</f>
        <v/>
      </c>
      <c r="G169" s="17" t="str">
        <f aca="false">IF(OR(Inputs!$B$27="",Inputs!$C$27=""),"",Inputs!G$31+Inputs!$B$27-Inputs!$K$31-20*LOG10($A169*1000/Inputs!$C$27)-Reference!G$10*($A169*1000-Inputs!$C$27)/1000)</f>
        <v/>
      </c>
      <c r="H169" s="17" t="str">
        <f aca="false">IF(OR(Inputs!$B$27="",Inputs!$C$27=""),"",Inputs!H$31+Inputs!$B$27-Inputs!$K$31-20*LOG10($A169*1000/Inputs!$C$27)-Reference!H$10*($A169*1000-Inputs!$C$27)/1000)</f>
        <v/>
      </c>
      <c r="I169" s="17" t="str">
        <f aca="false">IF(OR(Inputs!$B$27="",Inputs!$C$27=""),"",Inputs!I$31+Inputs!$B$27-Inputs!$K$31-20*LOG10($A169*1000/Inputs!$C$27)-Reference!I$10*($A169*1000-Inputs!$C$27)/1000)</f>
        <v/>
      </c>
      <c r="J169" s="17" t="str">
        <f aca="false">IF(OR(Inputs!$B$27="",Inputs!$C$27=""),"",Inputs!J$31+Inputs!$B$27-Inputs!$K$31-20*LOG10($A169*1000/Inputs!$C$27)-Reference!J$10*($A169*1000-Inputs!$C$27)/1000)</f>
        <v/>
      </c>
      <c r="K169" s="17" t="str">
        <f aca="false">IF(COUNT(B169:J169)&lt;9,"",10*LOG10(SUMPRODUCT(10^((B169:J169+Reference!$B$7:$J$7)/10))))</f>
        <v/>
      </c>
      <c r="L169" s="17" t="str">
        <f aca="false">IF(COUNT(B169:J169)&lt;9,"",10*LOG10(SUMPRODUCT(10^((B169:J169+Reference!$B$8:$J$8)/10))))</f>
        <v/>
      </c>
      <c r="M169" s="17" t="str">
        <f aca="false">IF(ISNUMBER(K169),Inputs!$B$12-K169,"")</f>
        <v/>
      </c>
      <c r="N169" s="8" t="str">
        <f aca="false">IF(ISNUMBER(M169),IF(M169&gt;=0,"yes","no"),"")</f>
        <v/>
      </c>
    </row>
    <row r="170" customFormat="false" ht="15" hidden="false" customHeight="false" outlineLevel="0" collapsed="false">
      <c r="A170" s="20" t="n">
        <f aca="false">Inputs!$A$16</f>
        <v>1</v>
      </c>
      <c r="B170" s="17" t="str">
        <f aca="false">IF(OR(Inputs!$B$27="",Inputs!$C$27=""),"",Inputs!B$31+Inputs!$B$27-Inputs!$K$31-20*LOG10($A170*1000/Inputs!$C$27)-Reference!B$10*($A170*1000-Inputs!$C$27)/1000)</f>
        <v/>
      </c>
      <c r="C170" s="17" t="str">
        <f aca="false">IF(OR(Inputs!$B$27="",Inputs!$C$27=""),"",Inputs!C$31+Inputs!$B$27-Inputs!$K$31-20*LOG10($A170*1000/Inputs!$C$27)-Reference!C$10*($A170*1000-Inputs!$C$27)/1000)</f>
        <v/>
      </c>
      <c r="D170" s="17" t="str">
        <f aca="false">IF(OR(Inputs!$B$27="",Inputs!$C$27=""),"",Inputs!D$31+Inputs!$B$27-Inputs!$K$31-20*LOG10($A170*1000/Inputs!$C$27)-Reference!D$10*($A170*1000-Inputs!$C$27)/1000)</f>
        <v/>
      </c>
      <c r="E170" s="17" t="str">
        <f aca="false">IF(OR(Inputs!$B$27="",Inputs!$C$27=""),"",Inputs!E$31+Inputs!$B$27-Inputs!$K$31-20*LOG10($A170*1000/Inputs!$C$27)-Reference!E$10*($A170*1000-Inputs!$C$27)/1000)</f>
        <v/>
      </c>
      <c r="F170" s="17" t="str">
        <f aca="false">IF(OR(Inputs!$B$27="",Inputs!$C$27=""),"",Inputs!F$31+Inputs!$B$27-Inputs!$K$31-20*LOG10($A170*1000/Inputs!$C$27)-Reference!F$10*($A170*1000-Inputs!$C$27)/1000)</f>
        <v/>
      </c>
      <c r="G170" s="17" t="str">
        <f aca="false">IF(OR(Inputs!$B$27="",Inputs!$C$27=""),"",Inputs!G$31+Inputs!$B$27-Inputs!$K$31-20*LOG10($A170*1000/Inputs!$C$27)-Reference!G$10*($A170*1000-Inputs!$C$27)/1000)</f>
        <v/>
      </c>
      <c r="H170" s="17" t="str">
        <f aca="false">IF(OR(Inputs!$B$27="",Inputs!$C$27=""),"",Inputs!H$31+Inputs!$B$27-Inputs!$K$31-20*LOG10($A170*1000/Inputs!$C$27)-Reference!H$10*($A170*1000-Inputs!$C$27)/1000)</f>
        <v/>
      </c>
      <c r="I170" s="17" t="str">
        <f aca="false">IF(OR(Inputs!$B$27="",Inputs!$C$27=""),"",Inputs!I$31+Inputs!$B$27-Inputs!$K$31-20*LOG10($A170*1000/Inputs!$C$27)-Reference!I$10*($A170*1000-Inputs!$C$27)/1000)</f>
        <v/>
      </c>
      <c r="J170" s="17" t="str">
        <f aca="false">IF(OR(Inputs!$B$27="",Inputs!$C$27=""),"",Inputs!J$31+Inputs!$B$27-Inputs!$K$31-20*LOG10($A170*1000/Inputs!$C$27)-Reference!J$10*($A170*1000-Inputs!$C$27)/1000)</f>
        <v/>
      </c>
      <c r="K170" s="17" t="str">
        <f aca="false">IF(COUNT(B170:J170)&lt;9,"",10*LOG10(SUMPRODUCT(10^((B170:J170+Reference!$B$7:$J$7)/10))))</f>
        <v/>
      </c>
      <c r="L170" s="17" t="str">
        <f aca="false">IF(COUNT(B170:J170)&lt;9,"",10*LOG10(SUMPRODUCT(10^((B170:J170+Reference!$B$8:$J$8)/10))))</f>
        <v/>
      </c>
      <c r="M170" s="17" t="str">
        <f aca="false">IF(ISNUMBER(K170),Inputs!$B$12-K170,"")</f>
        <v/>
      </c>
      <c r="N170" s="8" t="str">
        <f aca="false">IF(ISNUMBER(M170),IF(M170&gt;=0,"yes","no"),"")</f>
        <v/>
      </c>
    </row>
    <row r="171" customFormat="false" ht="15" hidden="false" customHeight="false" outlineLevel="0" collapsed="false">
      <c r="A171" s="20" t="n">
        <f aca="false">Inputs!$A$17</f>
        <v>2</v>
      </c>
      <c r="B171" s="17" t="str">
        <f aca="false">IF(OR(Inputs!$B$27="",Inputs!$C$27=""),"",Inputs!B$31+Inputs!$B$27-Inputs!$K$31-20*LOG10($A171*1000/Inputs!$C$27)-Reference!B$10*($A171*1000-Inputs!$C$27)/1000)</f>
        <v/>
      </c>
      <c r="C171" s="17" t="str">
        <f aca="false">IF(OR(Inputs!$B$27="",Inputs!$C$27=""),"",Inputs!C$31+Inputs!$B$27-Inputs!$K$31-20*LOG10($A171*1000/Inputs!$C$27)-Reference!C$10*($A171*1000-Inputs!$C$27)/1000)</f>
        <v/>
      </c>
      <c r="D171" s="17" t="str">
        <f aca="false">IF(OR(Inputs!$B$27="",Inputs!$C$27=""),"",Inputs!D$31+Inputs!$B$27-Inputs!$K$31-20*LOG10($A171*1000/Inputs!$C$27)-Reference!D$10*($A171*1000-Inputs!$C$27)/1000)</f>
        <v/>
      </c>
      <c r="E171" s="17" t="str">
        <f aca="false">IF(OR(Inputs!$B$27="",Inputs!$C$27=""),"",Inputs!E$31+Inputs!$B$27-Inputs!$K$31-20*LOG10($A171*1000/Inputs!$C$27)-Reference!E$10*($A171*1000-Inputs!$C$27)/1000)</f>
        <v/>
      </c>
      <c r="F171" s="17" t="str">
        <f aca="false">IF(OR(Inputs!$B$27="",Inputs!$C$27=""),"",Inputs!F$31+Inputs!$B$27-Inputs!$K$31-20*LOG10($A171*1000/Inputs!$C$27)-Reference!F$10*($A171*1000-Inputs!$C$27)/1000)</f>
        <v/>
      </c>
      <c r="G171" s="17" t="str">
        <f aca="false">IF(OR(Inputs!$B$27="",Inputs!$C$27=""),"",Inputs!G$31+Inputs!$B$27-Inputs!$K$31-20*LOG10($A171*1000/Inputs!$C$27)-Reference!G$10*($A171*1000-Inputs!$C$27)/1000)</f>
        <v/>
      </c>
      <c r="H171" s="17" t="str">
        <f aca="false">IF(OR(Inputs!$B$27="",Inputs!$C$27=""),"",Inputs!H$31+Inputs!$B$27-Inputs!$K$31-20*LOG10($A171*1000/Inputs!$C$27)-Reference!H$10*($A171*1000-Inputs!$C$27)/1000)</f>
        <v/>
      </c>
      <c r="I171" s="17" t="str">
        <f aca="false">IF(OR(Inputs!$B$27="",Inputs!$C$27=""),"",Inputs!I$31+Inputs!$B$27-Inputs!$K$31-20*LOG10($A171*1000/Inputs!$C$27)-Reference!I$10*($A171*1000-Inputs!$C$27)/1000)</f>
        <v/>
      </c>
      <c r="J171" s="17" t="str">
        <f aca="false">IF(OR(Inputs!$B$27="",Inputs!$C$27=""),"",Inputs!J$31+Inputs!$B$27-Inputs!$K$31-20*LOG10($A171*1000/Inputs!$C$27)-Reference!J$10*($A171*1000-Inputs!$C$27)/1000)</f>
        <v/>
      </c>
      <c r="K171" s="17" t="str">
        <f aca="false">IF(COUNT(B171:J171)&lt;9,"",10*LOG10(SUMPRODUCT(10^((B171:J171+Reference!$B$7:$J$7)/10))))</f>
        <v/>
      </c>
      <c r="L171" s="17" t="str">
        <f aca="false">IF(COUNT(B171:J171)&lt;9,"",10*LOG10(SUMPRODUCT(10^((B171:J171+Reference!$B$8:$J$8)/10))))</f>
        <v/>
      </c>
      <c r="M171" s="17" t="str">
        <f aca="false">IF(ISNUMBER(K171),Inputs!$B$12-K171,"")</f>
        <v/>
      </c>
      <c r="N171" s="8" t="str">
        <f aca="false">IF(ISNUMBER(M171),IF(M171&gt;=0,"yes","no"),"")</f>
        <v/>
      </c>
    </row>
    <row r="172" customFormat="false" ht="15" hidden="false" customHeight="false" outlineLevel="0" collapsed="false">
      <c r="A172" s="20" t="n">
        <f aca="false">Inputs!$A$18</f>
        <v>3</v>
      </c>
      <c r="B172" s="17" t="str">
        <f aca="false">IF(OR(Inputs!$B$27="",Inputs!$C$27=""),"",Inputs!B$31+Inputs!$B$27-Inputs!$K$31-20*LOG10($A172*1000/Inputs!$C$27)-Reference!B$10*($A172*1000-Inputs!$C$27)/1000)</f>
        <v/>
      </c>
      <c r="C172" s="17" t="str">
        <f aca="false">IF(OR(Inputs!$B$27="",Inputs!$C$27=""),"",Inputs!C$31+Inputs!$B$27-Inputs!$K$31-20*LOG10($A172*1000/Inputs!$C$27)-Reference!C$10*($A172*1000-Inputs!$C$27)/1000)</f>
        <v/>
      </c>
      <c r="D172" s="17" t="str">
        <f aca="false">IF(OR(Inputs!$B$27="",Inputs!$C$27=""),"",Inputs!D$31+Inputs!$B$27-Inputs!$K$31-20*LOG10($A172*1000/Inputs!$C$27)-Reference!D$10*($A172*1000-Inputs!$C$27)/1000)</f>
        <v/>
      </c>
      <c r="E172" s="17" t="str">
        <f aca="false">IF(OR(Inputs!$B$27="",Inputs!$C$27=""),"",Inputs!E$31+Inputs!$B$27-Inputs!$K$31-20*LOG10($A172*1000/Inputs!$C$27)-Reference!E$10*($A172*1000-Inputs!$C$27)/1000)</f>
        <v/>
      </c>
      <c r="F172" s="17" t="str">
        <f aca="false">IF(OR(Inputs!$B$27="",Inputs!$C$27=""),"",Inputs!F$31+Inputs!$B$27-Inputs!$K$31-20*LOG10($A172*1000/Inputs!$C$27)-Reference!F$10*($A172*1000-Inputs!$C$27)/1000)</f>
        <v/>
      </c>
      <c r="G172" s="17" t="str">
        <f aca="false">IF(OR(Inputs!$B$27="",Inputs!$C$27=""),"",Inputs!G$31+Inputs!$B$27-Inputs!$K$31-20*LOG10($A172*1000/Inputs!$C$27)-Reference!G$10*($A172*1000-Inputs!$C$27)/1000)</f>
        <v/>
      </c>
      <c r="H172" s="17" t="str">
        <f aca="false">IF(OR(Inputs!$B$27="",Inputs!$C$27=""),"",Inputs!H$31+Inputs!$B$27-Inputs!$K$31-20*LOG10($A172*1000/Inputs!$C$27)-Reference!H$10*($A172*1000-Inputs!$C$27)/1000)</f>
        <v/>
      </c>
      <c r="I172" s="17" t="str">
        <f aca="false">IF(OR(Inputs!$B$27="",Inputs!$C$27=""),"",Inputs!I$31+Inputs!$B$27-Inputs!$K$31-20*LOG10($A172*1000/Inputs!$C$27)-Reference!I$10*($A172*1000-Inputs!$C$27)/1000)</f>
        <v/>
      </c>
      <c r="J172" s="17" t="str">
        <f aca="false">IF(OR(Inputs!$B$27="",Inputs!$C$27=""),"",Inputs!J$31+Inputs!$B$27-Inputs!$K$31-20*LOG10($A172*1000/Inputs!$C$27)-Reference!J$10*($A172*1000-Inputs!$C$27)/1000)</f>
        <v/>
      </c>
      <c r="K172" s="17" t="str">
        <f aca="false">IF(COUNT(B172:J172)&lt;9,"",10*LOG10(SUMPRODUCT(10^((B172:J172+Reference!$B$7:$J$7)/10))))</f>
        <v/>
      </c>
      <c r="L172" s="17" t="str">
        <f aca="false">IF(COUNT(B172:J172)&lt;9,"",10*LOG10(SUMPRODUCT(10^((B172:J172+Reference!$B$8:$J$8)/10))))</f>
        <v/>
      </c>
      <c r="M172" s="17" t="str">
        <f aca="false">IF(ISNUMBER(K172),Inputs!$B$12-K172,"")</f>
        <v/>
      </c>
      <c r="N172" s="8" t="str">
        <f aca="false">IF(ISNUMBER(M172),IF(M172&gt;=0,"yes","no"),"")</f>
        <v/>
      </c>
    </row>
    <row r="173" customFormat="false" ht="15" hidden="false" customHeight="false" outlineLevel="0" collapsed="false">
      <c r="A173" s="20" t="n">
        <f aca="false">Inputs!$A$19</f>
        <v>5</v>
      </c>
      <c r="B173" s="17" t="str">
        <f aca="false">IF(OR(Inputs!$B$27="",Inputs!$C$27=""),"",Inputs!B$31+Inputs!$B$27-Inputs!$K$31-20*LOG10($A173*1000/Inputs!$C$27)-Reference!B$10*($A173*1000-Inputs!$C$27)/1000)</f>
        <v/>
      </c>
      <c r="C173" s="17" t="str">
        <f aca="false">IF(OR(Inputs!$B$27="",Inputs!$C$27=""),"",Inputs!C$31+Inputs!$B$27-Inputs!$K$31-20*LOG10($A173*1000/Inputs!$C$27)-Reference!C$10*($A173*1000-Inputs!$C$27)/1000)</f>
        <v/>
      </c>
      <c r="D173" s="17" t="str">
        <f aca="false">IF(OR(Inputs!$B$27="",Inputs!$C$27=""),"",Inputs!D$31+Inputs!$B$27-Inputs!$K$31-20*LOG10($A173*1000/Inputs!$C$27)-Reference!D$10*($A173*1000-Inputs!$C$27)/1000)</f>
        <v/>
      </c>
      <c r="E173" s="17" t="str">
        <f aca="false">IF(OR(Inputs!$B$27="",Inputs!$C$27=""),"",Inputs!E$31+Inputs!$B$27-Inputs!$K$31-20*LOG10($A173*1000/Inputs!$C$27)-Reference!E$10*($A173*1000-Inputs!$C$27)/1000)</f>
        <v/>
      </c>
      <c r="F173" s="17" t="str">
        <f aca="false">IF(OR(Inputs!$B$27="",Inputs!$C$27=""),"",Inputs!F$31+Inputs!$B$27-Inputs!$K$31-20*LOG10($A173*1000/Inputs!$C$27)-Reference!F$10*($A173*1000-Inputs!$C$27)/1000)</f>
        <v/>
      </c>
      <c r="G173" s="17" t="str">
        <f aca="false">IF(OR(Inputs!$B$27="",Inputs!$C$27=""),"",Inputs!G$31+Inputs!$B$27-Inputs!$K$31-20*LOG10($A173*1000/Inputs!$C$27)-Reference!G$10*($A173*1000-Inputs!$C$27)/1000)</f>
        <v/>
      </c>
      <c r="H173" s="17" t="str">
        <f aca="false">IF(OR(Inputs!$B$27="",Inputs!$C$27=""),"",Inputs!H$31+Inputs!$B$27-Inputs!$K$31-20*LOG10($A173*1000/Inputs!$C$27)-Reference!H$10*($A173*1000-Inputs!$C$27)/1000)</f>
        <v/>
      </c>
      <c r="I173" s="17" t="str">
        <f aca="false">IF(OR(Inputs!$B$27="",Inputs!$C$27=""),"",Inputs!I$31+Inputs!$B$27-Inputs!$K$31-20*LOG10($A173*1000/Inputs!$C$27)-Reference!I$10*($A173*1000-Inputs!$C$27)/1000)</f>
        <v/>
      </c>
      <c r="J173" s="17" t="str">
        <f aca="false">IF(OR(Inputs!$B$27="",Inputs!$C$27=""),"",Inputs!J$31+Inputs!$B$27-Inputs!$K$31-20*LOG10($A173*1000/Inputs!$C$27)-Reference!J$10*($A173*1000-Inputs!$C$27)/1000)</f>
        <v/>
      </c>
      <c r="K173" s="17" t="str">
        <f aca="false">IF(COUNT(B173:J173)&lt;9,"",10*LOG10(SUMPRODUCT(10^((B173:J173+Reference!$B$7:$J$7)/10))))</f>
        <v/>
      </c>
      <c r="L173" s="17" t="str">
        <f aca="false">IF(COUNT(B173:J173)&lt;9,"",10*LOG10(SUMPRODUCT(10^((B173:J173+Reference!$B$8:$J$8)/10))))</f>
        <v/>
      </c>
      <c r="M173" s="17" t="str">
        <f aca="false">IF(ISNUMBER(K173),Inputs!$B$12-K173,"")</f>
        <v/>
      </c>
      <c r="N173" s="8" t="str">
        <f aca="false">IF(ISNUMBER(M173),IF(M173&gt;=0,"yes","no"),"")</f>
        <v/>
      </c>
    </row>
    <row r="174" customFormat="false" ht="15" hidden="false" customHeight="false" outlineLevel="0" collapsed="false">
      <c r="A174" s="20" t="n">
        <f aca="false">Inputs!$A$20</f>
        <v>10</v>
      </c>
      <c r="B174" s="17" t="str">
        <f aca="false">IF(OR(Inputs!$B$27="",Inputs!$C$27=""),"",Inputs!B$31+Inputs!$B$27-Inputs!$K$31-20*LOG10($A174*1000/Inputs!$C$27)-Reference!B$10*($A174*1000-Inputs!$C$27)/1000)</f>
        <v/>
      </c>
      <c r="C174" s="17" t="str">
        <f aca="false">IF(OR(Inputs!$B$27="",Inputs!$C$27=""),"",Inputs!C$31+Inputs!$B$27-Inputs!$K$31-20*LOG10($A174*1000/Inputs!$C$27)-Reference!C$10*($A174*1000-Inputs!$C$27)/1000)</f>
        <v/>
      </c>
      <c r="D174" s="17" t="str">
        <f aca="false">IF(OR(Inputs!$B$27="",Inputs!$C$27=""),"",Inputs!D$31+Inputs!$B$27-Inputs!$K$31-20*LOG10($A174*1000/Inputs!$C$27)-Reference!D$10*($A174*1000-Inputs!$C$27)/1000)</f>
        <v/>
      </c>
      <c r="E174" s="17" t="str">
        <f aca="false">IF(OR(Inputs!$B$27="",Inputs!$C$27=""),"",Inputs!E$31+Inputs!$B$27-Inputs!$K$31-20*LOG10($A174*1000/Inputs!$C$27)-Reference!E$10*($A174*1000-Inputs!$C$27)/1000)</f>
        <v/>
      </c>
      <c r="F174" s="17" t="str">
        <f aca="false">IF(OR(Inputs!$B$27="",Inputs!$C$27=""),"",Inputs!F$31+Inputs!$B$27-Inputs!$K$31-20*LOG10($A174*1000/Inputs!$C$27)-Reference!F$10*($A174*1000-Inputs!$C$27)/1000)</f>
        <v/>
      </c>
      <c r="G174" s="17" t="str">
        <f aca="false">IF(OR(Inputs!$B$27="",Inputs!$C$27=""),"",Inputs!G$31+Inputs!$B$27-Inputs!$K$31-20*LOG10($A174*1000/Inputs!$C$27)-Reference!G$10*($A174*1000-Inputs!$C$27)/1000)</f>
        <v/>
      </c>
      <c r="H174" s="17" t="str">
        <f aca="false">IF(OR(Inputs!$B$27="",Inputs!$C$27=""),"",Inputs!H$31+Inputs!$B$27-Inputs!$K$31-20*LOG10($A174*1000/Inputs!$C$27)-Reference!H$10*($A174*1000-Inputs!$C$27)/1000)</f>
        <v/>
      </c>
      <c r="I174" s="17" t="str">
        <f aca="false">IF(OR(Inputs!$B$27="",Inputs!$C$27=""),"",Inputs!I$31+Inputs!$B$27-Inputs!$K$31-20*LOG10($A174*1000/Inputs!$C$27)-Reference!I$10*($A174*1000-Inputs!$C$27)/1000)</f>
        <v/>
      </c>
      <c r="J174" s="17" t="str">
        <f aca="false">IF(OR(Inputs!$B$27="",Inputs!$C$27=""),"",Inputs!J$31+Inputs!$B$27-Inputs!$K$31-20*LOG10($A174*1000/Inputs!$C$27)-Reference!J$10*($A174*1000-Inputs!$C$27)/1000)</f>
        <v/>
      </c>
      <c r="K174" s="17" t="str">
        <f aca="false">IF(COUNT(B174:J174)&lt;9,"",10*LOG10(SUMPRODUCT(10^((B174:J174+Reference!$B$7:$J$7)/10))))</f>
        <v/>
      </c>
      <c r="L174" s="17" t="str">
        <f aca="false">IF(COUNT(B174:J174)&lt;9,"",10*LOG10(SUMPRODUCT(10^((B174:J174+Reference!$B$8:$J$8)/10))))</f>
        <v/>
      </c>
      <c r="M174" s="17" t="str">
        <f aca="false">IF(ISNUMBER(K174),Inputs!$B$12-K174,"")</f>
        <v/>
      </c>
      <c r="N174" s="8" t="str">
        <f aca="false">IF(ISNUMBER(M174),IF(M174&gt;=0,"yes","no"),"")</f>
        <v/>
      </c>
    </row>
    <row r="175" customFormat="false" ht="15" hidden="false" customHeight="false" outlineLevel="0" collapsed="false">
      <c r="A175" s="7" t="s">
        <v>124</v>
      </c>
    </row>
    <row r="176" customFormat="false" ht="23.85" hidden="false" customHeight="false" outlineLevel="0" collapsed="false">
      <c r="A176" s="13" t="s">
        <v>114</v>
      </c>
      <c r="B176" s="13" t="s">
        <v>64</v>
      </c>
      <c r="C176" s="13" t="s">
        <v>65</v>
      </c>
      <c r="D176" s="13" t="s">
        <v>66</v>
      </c>
      <c r="E176" s="13" t="s">
        <v>67</v>
      </c>
      <c r="F176" s="13" t="s">
        <v>68</v>
      </c>
      <c r="G176" s="13" t="s">
        <v>69</v>
      </c>
      <c r="H176" s="13" t="s">
        <v>70</v>
      </c>
      <c r="I176" s="13" t="s">
        <v>71</v>
      </c>
      <c r="J176" s="13" t="s">
        <v>72</v>
      </c>
      <c r="K176" s="13" t="s">
        <v>125</v>
      </c>
      <c r="L176" s="13" t="s">
        <v>88</v>
      </c>
    </row>
    <row r="177" customFormat="false" ht="15" hidden="false" customHeight="false" outlineLevel="0" collapsed="false">
      <c r="A177" s="17" t="n">
        <f aca="false">A169</f>
        <v>0.5</v>
      </c>
      <c r="B177" s="17" t="str">
        <f aca="false">IF(ISNUMBER(B169),Reference!B$9-B169,"")</f>
        <v/>
      </c>
      <c r="C177" s="17" t="str">
        <f aca="false">IF(ISNUMBER(C169),Reference!C$9-C169,"")</f>
        <v/>
      </c>
      <c r="D177" s="17" t="str">
        <f aca="false">IF(ISNUMBER(D169),Reference!D$9-D169,"")</f>
        <v/>
      </c>
      <c r="E177" s="17" t="str">
        <f aca="false">IF(ISNUMBER(E169),Reference!E$9-E169,"")</f>
        <v/>
      </c>
      <c r="F177" s="17" t="str">
        <f aca="false">IF(ISNUMBER(F169),Reference!F$9-F169,"")</f>
        <v/>
      </c>
      <c r="G177" s="17" t="str">
        <f aca="false">IF(ISNUMBER(G169),Reference!G$9-G169,"")</f>
        <v/>
      </c>
      <c r="H177" s="17" t="str">
        <f aca="false">IF(ISNUMBER(H169),Reference!H$9-H169,"")</f>
        <v/>
      </c>
      <c r="I177" s="17" t="str">
        <f aca="false">IF(ISNUMBER(I169),Reference!I$9-I169,"")</f>
        <v/>
      </c>
      <c r="J177" s="17" t="str">
        <f aca="false">IF(ISNUMBER(J169),Reference!J$9-J169,"")</f>
        <v/>
      </c>
      <c r="K177" s="17" t="str">
        <f aca="false">IF(COUNT(B177:J177)=0,"",MIN(B177:J177))</f>
        <v/>
      </c>
      <c r="L177" s="8" t="str">
        <f aca="false">IF(COUNT(B177:J177)&lt;9,"",IF(K177&gt;=0,"yes","no"))</f>
        <v/>
      </c>
    </row>
    <row r="178" customFormat="false" ht="15" hidden="false" customHeight="false" outlineLevel="0" collapsed="false">
      <c r="A178" s="17" t="n">
        <f aca="false">A170</f>
        <v>1</v>
      </c>
      <c r="B178" s="17" t="str">
        <f aca="false">IF(ISNUMBER(B170),Reference!B$9-B170,"")</f>
        <v/>
      </c>
      <c r="C178" s="17" t="str">
        <f aca="false">IF(ISNUMBER(C170),Reference!C$9-C170,"")</f>
        <v/>
      </c>
      <c r="D178" s="17" t="str">
        <f aca="false">IF(ISNUMBER(D170),Reference!D$9-D170,"")</f>
        <v/>
      </c>
      <c r="E178" s="17" t="str">
        <f aca="false">IF(ISNUMBER(E170),Reference!E$9-E170,"")</f>
        <v/>
      </c>
      <c r="F178" s="17" t="str">
        <f aca="false">IF(ISNUMBER(F170),Reference!F$9-F170,"")</f>
        <v/>
      </c>
      <c r="G178" s="17" t="str">
        <f aca="false">IF(ISNUMBER(G170),Reference!G$9-G170,"")</f>
        <v/>
      </c>
      <c r="H178" s="17" t="str">
        <f aca="false">IF(ISNUMBER(H170),Reference!H$9-H170,"")</f>
        <v/>
      </c>
      <c r="I178" s="17" t="str">
        <f aca="false">IF(ISNUMBER(I170),Reference!I$9-I170,"")</f>
        <v/>
      </c>
      <c r="J178" s="17" t="str">
        <f aca="false">IF(ISNUMBER(J170),Reference!J$9-J170,"")</f>
        <v/>
      </c>
      <c r="K178" s="17" t="str">
        <f aca="false">IF(COUNT(B178:J178)=0,"",MIN(B178:J178))</f>
        <v/>
      </c>
      <c r="L178" s="8" t="str">
        <f aca="false">IF(COUNT(B178:J178)&lt;9,"",IF(K178&gt;=0,"yes","no"))</f>
        <v/>
      </c>
    </row>
    <row r="179" customFormat="false" ht="15" hidden="false" customHeight="false" outlineLevel="0" collapsed="false">
      <c r="A179" s="17" t="n">
        <f aca="false">A171</f>
        <v>2</v>
      </c>
      <c r="B179" s="17" t="str">
        <f aca="false">IF(ISNUMBER(B171),Reference!B$9-B171,"")</f>
        <v/>
      </c>
      <c r="C179" s="17" t="str">
        <f aca="false">IF(ISNUMBER(C171),Reference!C$9-C171,"")</f>
        <v/>
      </c>
      <c r="D179" s="17" t="str">
        <f aca="false">IF(ISNUMBER(D171),Reference!D$9-D171,"")</f>
        <v/>
      </c>
      <c r="E179" s="17" t="str">
        <f aca="false">IF(ISNUMBER(E171),Reference!E$9-E171,"")</f>
        <v/>
      </c>
      <c r="F179" s="17" t="str">
        <f aca="false">IF(ISNUMBER(F171),Reference!F$9-F171,"")</f>
        <v/>
      </c>
      <c r="G179" s="17" t="str">
        <f aca="false">IF(ISNUMBER(G171),Reference!G$9-G171,"")</f>
        <v/>
      </c>
      <c r="H179" s="17" t="str">
        <f aca="false">IF(ISNUMBER(H171),Reference!H$9-H171,"")</f>
        <v/>
      </c>
      <c r="I179" s="17" t="str">
        <f aca="false">IF(ISNUMBER(I171),Reference!I$9-I171,"")</f>
        <v/>
      </c>
      <c r="J179" s="17" t="str">
        <f aca="false">IF(ISNUMBER(J171),Reference!J$9-J171,"")</f>
        <v/>
      </c>
      <c r="K179" s="17" t="str">
        <f aca="false">IF(COUNT(B179:J179)=0,"",MIN(B179:J179))</f>
        <v/>
      </c>
      <c r="L179" s="8" t="str">
        <f aca="false">IF(COUNT(B179:J179)&lt;9,"",IF(K179&gt;=0,"yes","no"))</f>
        <v/>
      </c>
    </row>
    <row r="180" customFormat="false" ht="15" hidden="false" customHeight="false" outlineLevel="0" collapsed="false">
      <c r="A180" s="17" t="n">
        <f aca="false">A172</f>
        <v>3</v>
      </c>
      <c r="B180" s="17" t="str">
        <f aca="false">IF(ISNUMBER(B172),Reference!B$9-B172,"")</f>
        <v/>
      </c>
      <c r="C180" s="17" t="str">
        <f aca="false">IF(ISNUMBER(C172),Reference!C$9-C172,"")</f>
        <v/>
      </c>
      <c r="D180" s="17" t="str">
        <f aca="false">IF(ISNUMBER(D172),Reference!D$9-D172,"")</f>
        <v/>
      </c>
      <c r="E180" s="17" t="str">
        <f aca="false">IF(ISNUMBER(E172),Reference!E$9-E172,"")</f>
        <v/>
      </c>
      <c r="F180" s="17" t="str">
        <f aca="false">IF(ISNUMBER(F172),Reference!F$9-F172,"")</f>
        <v/>
      </c>
      <c r="G180" s="17" t="str">
        <f aca="false">IF(ISNUMBER(G172),Reference!G$9-G172,"")</f>
        <v/>
      </c>
      <c r="H180" s="17" t="str">
        <f aca="false">IF(ISNUMBER(H172),Reference!H$9-H172,"")</f>
        <v/>
      </c>
      <c r="I180" s="17" t="str">
        <f aca="false">IF(ISNUMBER(I172),Reference!I$9-I172,"")</f>
        <v/>
      </c>
      <c r="J180" s="17" t="str">
        <f aca="false">IF(ISNUMBER(J172),Reference!J$9-J172,"")</f>
        <v/>
      </c>
      <c r="K180" s="17" t="str">
        <f aca="false">IF(COUNT(B180:J180)=0,"",MIN(B180:J180))</f>
        <v/>
      </c>
      <c r="L180" s="8" t="str">
        <f aca="false">IF(COUNT(B180:J180)&lt;9,"",IF(K180&gt;=0,"yes","no"))</f>
        <v/>
      </c>
    </row>
    <row r="181" customFormat="false" ht="15" hidden="false" customHeight="false" outlineLevel="0" collapsed="false">
      <c r="A181" s="17" t="n">
        <f aca="false">A173</f>
        <v>5</v>
      </c>
      <c r="B181" s="17" t="str">
        <f aca="false">IF(ISNUMBER(B173),Reference!B$9-B173,"")</f>
        <v/>
      </c>
      <c r="C181" s="17" t="str">
        <f aca="false">IF(ISNUMBER(C173),Reference!C$9-C173,"")</f>
        <v/>
      </c>
      <c r="D181" s="17" t="str">
        <f aca="false">IF(ISNUMBER(D173),Reference!D$9-D173,"")</f>
        <v/>
      </c>
      <c r="E181" s="17" t="str">
        <f aca="false">IF(ISNUMBER(E173),Reference!E$9-E173,"")</f>
        <v/>
      </c>
      <c r="F181" s="17" t="str">
        <f aca="false">IF(ISNUMBER(F173),Reference!F$9-F173,"")</f>
        <v/>
      </c>
      <c r="G181" s="17" t="str">
        <f aca="false">IF(ISNUMBER(G173),Reference!G$9-G173,"")</f>
        <v/>
      </c>
      <c r="H181" s="17" t="str">
        <f aca="false">IF(ISNUMBER(H173),Reference!H$9-H173,"")</f>
        <v/>
      </c>
      <c r="I181" s="17" t="str">
        <f aca="false">IF(ISNUMBER(I173),Reference!I$9-I173,"")</f>
        <v/>
      </c>
      <c r="J181" s="17" t="str">
        <f aca="false">IF(ISNUMBER(J173),Reference!J$9-J173,"")</f>
        <v/>
      </c>
      <c r="K181" s="17" t="str">
        <f aca="false">IF(COUNT(B181:J181)=0,"",MIN(B181:J181))</f>
        <v/>
      </c>
      <c r="L181" s="8" t="str">
        <f aca="false">IF(COUNT(B181:J181)&lt;9,"",IF(K181&gt;=0,"yes","no"))</f>
        <v/>
      </c>
    </row>
    <row r="182" customFormat="false" ht="15" hidden="false" customHeight="false" outlineLevel="0" collapsed="false">
      <c r="A182" s="17" t="n">
        <f aca="false">A174</f>
        <v>10</v>
      </c>
      <c r="B182" s="17" t="str">
        <f aca="false">IF(ISNUMBER(B174),Reference!B$9-B174,"")</f>
        <v/>
      </c>
      <c r="C182" s="17" t="str">
        <f aca="false">IF(ISNUMBER(C174),Reference!C$9-C174,"")</f>
        <v/>
      </c>
      <c r="D182" s="17" t="str">
        <f aca="false">IF(ISNUMBER(D174),Reference!D$9-D174,"")</f>
        <v/>
      </c>
      <c r="E182" s="17" t="str">
        <f aca="false">IF(ISNUMBER(E174),Reference!E$9-E174,"")</f>
        <v/>
      </c>
      <c r="F182" s="17" t="str">
        <f aca="false">IF(ISNUMBER(F174),Reference!F$9-F174,"")</f>
        <v/>
      </c>
      <c r="G182" s="17" t="str">
        <f aca="false">IF(ISNUMBER(G174),Reference!G$9-G174,"")</f>
        <v/>
      </c>
      <c r="H182" s="17" t="str">
        <f aca="false">IF(ISNUMBER(H174),Reference!H$9-H174,"")</f>
        <v/>
      </c>
      <c r="I182" s="17" t="str">
        <f aca="false">IF(ISNUMBER(I174),Reference!I$9-I174,"")</f>
        <v/>
      </c>
      <c r="J182" s="17" t="str">
        <f aca="false">IF(ISNUMBER(J174),Reference!J$9-J174,"")</f>
        <v/>
      </c>
      <c r="K182" s="17" t="str">
        <f aca="false">IF(COUNT(B182:J182)=0,"",MIN(B182:J182))</f>
        <v/>
      </c>
      <c r="L182" s="8" t="str">
        <f aca="false">IF(COUNT(B182:J182)&lt;9,"",IF(K182&gt;=0,"yes","no"))</f>
        <v/>
      </c>
    </row>
    <row r="184" customFormat="false" ht="15" hidden="false" customHeight="false" outlineLevel="0" collapsed="false">
      <c r="A184" s="26" t="str">
        <f aca="false">"Class: "&amp;Inputs!A27&amp;"   Character: "&amp;Inputs!A32</f>
        <v>Class: Custom (measured)   Character: Bass heavy</v>
      </c>
    </row>
    <row r="185" customFormat="false" ht="15" hidden="false" customHeight="false" outlineLevel="0" collapsed="false">
      <c r="A185" s="7" t="s">
        <v>120</v>
      </c>
    </row>
    <row r="186" customFormat="false" ht="23.85" hidden="false" customHeight="false" outlineLevel="0" collapsed="false">
      <c r="A186" s="13" t="s">
        <v>114</v>
      </c>
      <c r="B186" s="13" t="s">
        <v>64</v>
      </c>
      <c r="C186" s="13" t="s">
        <v>65</v>
      </c>
      <c r="D186" s="13" t="s">
        <v>66</v>
      </c>
      <c r="E186" s="13" t="s">
        <v>67</v>
      </c>
      <c r="F186" s="13" t="s">
        <v>68</v>
      </c>
      <c r="G186" s="13" t="s">
        <v>69</v>
      </c>
      <c r="H186" s="13" t="s">
        <v>70</v>
      </c>
      <c r="I186" s="13" t="s">
        <v>71</v>
      </c>
      <c r="J186" s="13" t="s">
        <v>72</v>
      </c>
      <c r="K186" s="13" t="s">
        <v>121</v>
      </c>
      <c r="L186" s="13" t="s">
        <v>122</v>
      </c>
      <c r="M186" s="13" t="s">
        <v>86</v>
      </c>
      <c r="N186" s="13" t="s">
        <v>123</v>
      </c>
    </row>
    <row r="187" customFormat="false" ht="15" hidden="false" customHeight="false" outlineLevel="0" collapsed="false">
      <c r="A187" s="20" t="n">
        <f aca="false">Inputs!$A$15</f>
        <v>0.5</v>
      </c>
      <c r="B187" s="17" t="str">
        <f aca="false">IF(OR(Inputs!$B$27="",Inputs!$C$27=""),"",Inputs!B$32+Inputs!$B$27-Inputs!$K$32-20*LOG10($A187*1000/Inputs!$C$27)-Reference!B$10*($A187*1000-Inputs!$C$27)/1000)</f>
        <v/>
      </c>
      <c r="C187" s="17" t="str">
        <f aca="false">IF(OR(Inputs!$B$27="",Inputs!$C$27=""),"",Inputs!C$32+Inputs!$B$27-Inputs!$K$32-20*LOG10($A187*1000/Inputs!$C$27)-Reference!C$10*($A187*1000-Inputs!$C$27)/1000)</f>
        <v/>
      </c>
      <c r="D187" s="17" t="str">
        <f aca="false">IF(OR(Inputs!$B$27="",Inputs!$C$27=""),"",Inputs!D$32+Inputs!$B$27-Inputs!$K$32-20*LOG10($A187*1000/Inputs!$C$27)-Reference!D$10*($A187*1000-Inputs!$C$27)/1000)</f>
        <v/>
      </c>
      <c r="E187" s="17" t="str">
        <f aca="false">IF(OR(Inputs!$B$27="",Inputs!$C$27=""),"",Inputs!E$32+Inputs!$B$27-Inputs!$K$32-20*LOG10($A187*1000/Inputs!$C$27)-Reference!E$10*($A187*1000-Inputs!$C$27)/1000)</f>
        <v/>
      </c>
      <c r="F187" s="17" t="str">
        <f aca="false">IF(OR(Inputs!$B$27="",Inputs!$C$27=""),"",Inputs!F$32+Inputs!$B$27-Inputs!$K$32-20*LOG10($A187*1000/Inputs!$C$27)-Reference!F$10*($A187*1000-Inputs!$C$27)/1000)</f>
        <v/>
      </c>
      <c r="G187" s="17" t="str">
        <f aca="false">IF(OR(Inputs!$B$27="",Inputs!$C$27=""),"",Inputs!G$32+Inputs!$B$27-Inputs!$K$32-20*LOG10($A187*1000/Inputs!$C$27)-Reference!G$10*($A187*1000-Inputs!$C$27)/1000)</f>
        <v/>
      </c>
      <c r="H187" s="17" t="str">
        <f aca="false">IF(OR(Inputs!$B$27="",Inputs!$C$27=""),"",Inputs!H$32+Inputs!$B$27-Inputs!$K$32-20*LOG10($A187*1000/Inputs!$C$27)-Reference!H$10*($A187*1000-Inputs!$C$27)/1000)</f>
        <v/>
      </c>
      <c r="I187" s="17" t="str">
        <f aca="false">IF(OR(Inputs!$B$27="",Inputs!$C$27=""),"",Inputs!I$32+Inputs!$B$27-Inputs!$K$32-20*LOG10($A187*1000/Inputs!$C$27)-Reference!I$10*($A187*1000-Inputs!$C$27)/1000)</f>
        <v/>
      </c>
      <c r="J187" s="17" t="str">
        <f aca="false">IF(OR(Inputs!$B$27="",Inputs!$C$27=""),"",Inputs!J$32+Inputs!$B$27-Inputs!$K$32-20*LOG10($A187*1000/Inputs!$C$27)-Reference!J$10*($A187*1000-Inputs!$C$27)/1000)</f>
        <v/>
      </c>
      <c r="K187" s="17" t="str">
        <f aca="false">IF(COUNT(B187:J187)&lt;9,"",10*LOG10(SUMPRODUCT(10^((B187:J187+Reference!$B$7:$J$7)/10))))</f>
        <v/>
      </c>
      <c r="L187" s="17" t="str">
        <f aca="false">IF(COUNT(B187:J187)&lt;9,"",10*LOG10(SUMPRODUCT(10^((B187:J187+Reference!$B$8:$J$8)/10))))</f>
        <v/>
      </c>
      <c r="M187" s="17" t="str">
        <f aca="false">IF(ISNUMBER(K187),Inputs!$B$12-K187,"")</f>
        <v/>
      </c>
      <c r="N187" s="8" t="str">
        <f aca="false">IF(ISNUMBER(M187),IF(M187&gt;=0,"yes","no"),"")</f>
        <v/>
      </c>
    </row>
    <row r="188" customFormat="false" ht="15" hidden="false" customHeight="false" outlineLevel="0" collapsed="false">
      <c r="A188" s="20" t="n">
        <f aca="false">Inputs!$A$16</f>
        <v>1</v>
      </c>
      <c r="B188" s="17" t="str">
        <f aca="false">IF(OR(Inputs!$B$27="",Inputs!$C$27=""),"",Inputs!B$32+Inputs!$B$27-Inputs!$K$32-20*LOG10($A188*1000/Inputs!$C$27)-Reference!B$10*($A188*1000-Inputs!$C$27)/1000)</f>
        <v/>
      </c>
      <c r="C188" s="17" t="str">
        <f aca="false">IF(OR(Inputs!$B$27="",Inputs!$C$27=""),"",Inputs!C$32+Inputs!$B$27-Inputs!$K$32-20*LOG10($A188*1000/Inputs!$C$27)-Reference!C$10*($A188*1000-Inputs!$C$27)/1000)</f>
        <v/>
      </c>
      <c r="D188" s="17" t="str">
        <f aca="false">IF(OR(Inputs!$B$27="",Inputs!$C$27=""),"",Inputs!D$32+Inputs!$B$27-Inputs!$K$32-20*LOG10($A188*1000/Inputs!$C$27)-Reference!D$10*($A188*1000-Inputs!$C$27)/1000)</f>
        <v/>
      </c>
      <c r="E188" s="17" t="str">
        <f aca="false">IF(OR(Inputs!$B$27="",Inputs!$C$27=""),"",Inputs!E$32+Inputs!$B$27-Inputs!$K$32-20*LOG10($A188*1000/Inputs!$C$27)-Reference!E$10*($A188*1000-Inputs!$C$27)/1000)</f>
        <v/>
      </c>
      <c r="F188" s="17" t="str">
        <f aca="false">IF(OR(Inputs!$B$27="",Inputs!$C$27=""),"",Inputs!F$32+Inputs!$B$27-Inputs!$K$32-20*LOG10($A188*1000/Inputs!$C$27)-Reference!F$10*($A188*1000-Inputs!$C$27)/1000)</f>
        <v/>
      </c>
      <c r="G188" s="17" t="str">
        <f aca="false">IF(OR(Inputs!$B$27="",Inputs!$C$27=""),"",Inputs!G$32+Inputs!$B$27-Inputs!$K$32-20*LOG10($A188*1000/Inputs!$C$27)-Reference!G$10*($A188*1000-Inputs!$C$27)/1000)</f>
        <v/>
      </c>
      <c r="H188" s="17" t="str">
        <f aca="false">IF(OR(Inputs!$B$27="",Inputs!$C$27=""),"",Inputs!H$32+Inputs!$B$27-Inputs!$K$32-20*LOG10($A188*1000/Inputs!$C$27)-Reference!H$10*($A188*1000-Inputs!$C$27)/1000)</f>
        <v/>
      </c>
      <c r="I188" s="17" t="str">
        <f aca="false">IF(OR(Inputs!$B$27="",Inputs!$C$27=""),"",Inputs!I$32+Inputs!$B$27-Inputs!$K$32-20*LOG10($A188*1000/Inputs!$C$27)-Reference!I$10*($A188*1000-Inputs!$C$27)/1000)</f>
        <v/>
      </c>
      <c r="J188" s="17" t="str">
        <f aca="false">IF(OR(Inputs!$B$27="",Inputs!$C$27=""),"",Inputs!J$32+Inputs!$B$27-Inputs!$K$32-20*LOG10($A188*1000/Inputs!$C$27)-Reference!J$10*($A188*1000-Inputs!$C$27)/1000)</f>
        <v/>
      </c>
      <c r="K188" s="17" t="str">
        <f aca="false">IF(COUNT(B188:J188)&lt;9,"",10*LOG10(SUMPRODUCT(10^((B188:J188+Reference!$B$7:$J$7)/10))))</f>
        <v/>
      </c>
      <c r="L188" s="17" t="str">
        <f aca="false">IF(COUNT(B188:J188)&lt;9,"",10*LOG10(SUMPRODUCT(10^((B188:J188+Reference!$B$8:$J$8)/10))))</f>
        <v/>
      </c>
      <c r="M188" s="17" t="str">
        <f aca="false">IF(ISNUMBER(K188),Inputs!$B$12-K188,"")</f>
        <v/>
      </c>
      <c r="N188" s="8" t="str">
        <f aca="false">IF(ISNUMBER(M188),IF(M188&gt;=0,"yes","no"),"")</f>
        <v/>
      </c>
    </row>
    <row r="189" customFormat="false" ht="15" hidden="false" customHeight="false" outlineLevel="0" collapsed="false">
      <c r="A189" s="20" t="n">
        <f aca="false">Inputs!$A$17</f>
        <v>2</v>
      </c>
      <c r="B189" s="17" t="str">
        <f aca="false">IF(OR(Inputs!$B$27="",Inputs!$C$27=""),"",Inputs!B$32+Inputs!$B$27-Inputs!$K$32-20*LOG10($A189*1000/Inputs!$C$27)-Reference!B$10*($A189*1000-Inputs!$C$27)/1000)</f>
        <v/>
      </c>
      <c r="C189" s="17" t="str">
        <f aca="false">IF(OR(Inputs!$B$27="",Inputs!$C$27=""),"",Inputs!C$32+Inputs!$B$27-Inputs!$K$32-20*LOG10($A189*1000/Inputs!$C$27)-Reference!C$10*($A189*1000-Inputs!$C$27)/1000)</f>
        <v/>
      </c>
      <c r="D189" s="17" t="str">
        <f aca="false">IF(OR(Inputs!$B$27="",Inputs!$C$27=""),"",Inputs!D$32+Inputs!$B$27-Inputs!$K$32-20*LOG10($A189*1000/Inputs!$C$27)-Reference!D$10*($A189*1000-Inputs!$C$27)/1000)</f>
        <v/>
      </c>
      <c r="E189" s="17" t="str">
        <f aca="false">IF(OR(Inputs!$B$27="",Inputs!$C$27=""),"",Inputs!E$32+Inputs!$B$27-Inputs!$K$32-20*LOG10($A189*1000/Inputs!$C$27)-Reference!E$10*($A189*1000-Inputs!$C$27)/1000)</f>
        <v/>
      </c>
      <c r="F189" s="17" t="str">
        <f aca="false">IF(OR(Inputs!$B$27="",Inputs!$C$27=""),"",Inputs!F$32+Inputs!$B$27-Inputs!$K$32-20*LOG10($A189*1000/Inputs!$C$27)-Reference!F$10*($A189*1000-Inputs!$C$27)/1000)</f>
        <v/>
      </c>
      <c r="G189" s="17" t="str">
        <f aca="false">IF(OR(Inputs!$B$27="",Inputs!$C$27=""),"",Inputs!G$32+Inputs!$B$27-Inputs!$K$32-20*LOG10($A189*1000/Inputs!$C$27)-Reference!G$10*($A189*1000-Inputs!$C$27)/1000)</f>
        <v/>
      </c>
      <c r="H189" s="17" t="str">
        <f aca="false">IF(OR(Inputs!$B$27="",Inputs!$C$27=""),"",Inputs!H$32+Inputs!$B$27-Inputs!$K$32-20*LOG10($A189*1000/Inputs!$C$27)-Reference!H$10*($A189*1000-Inputs!$C$27)/1000)</f>
        <v/>
      </c>
      <c r="I189" s="17" t="str">
        <f aca="false">IF(OR(Inputs!$B$27="",Inputs!$C$27=""),"",Inputs!I$32+Inputs!$B$27-Inputs!$K$32-20*LOG10($A189*1000/Inputs!$C$27)-Reference!I$10*($A189*1000-Inputs!$C$27)/1000)</f>
        <v/>
      </c>
      <c r="J189" s="17" t="str">
        <f aca="false">IF(OR(Inputs!$B$27="",Inputs!$C$27=""),"",Inputs!J$32+Inputs!$B$27-Inputs!$K$32-20*LOG10($A189*1000/Inputs!$C$27)-Reference!J$10*($A189*1000-Inputs!$C$27)/1000)</f>
        <v/>
      </c>
      <c r="K189" s="17" t="str">
        <f aca="false">IF(COUNT(B189:J189)&lt;9,"",10*LOG10(SUMPRODUCT(10^((B189:J189+Reference!$B$7:$J$7)/10))))</f>
        <v/>
      </c>
      <c r="L189" s="17" t="str">
        <f aca="false">IF(COUNT(B189:J189)&lt;9,"",10*LOG10(SUMPRODUCT(10^((B189:J189+Reference!$B$8:$J$8)/10))))</f>
        <v/>
      </c>
      <c r="M189" s="17" t="str">
        <f aca="false">IF(ISNUMBER(K189),Inputs!$B$12-K189,"")</f>
        <v/>
      </c>
      <c r="N189" s="8" t="str">
        <f aca="false">IF(ISNUMBER(M189),IF(M189&gt;=0,"yes","no"),"")</f>
        <v/>
      </c>
    </row>
    <row r="190" customFormat="false" ht="15" hidden="false" customHeight="false" outlineLevel="0" collapsed="false">
      <c r="A190" s="20" t="n">
        <f aca="false">Inputs!$A$18</f>
        <v>3</v>
      </c>
      <c r="B190" s="17" t="str">
        <f aca="false">IF(OR(Inputs!$B$27="",Inputs!$C$27=""),"",Inputs!B$32+Inputs!$B$27-Inputs!$K$32-20*LOG10($A190*1000/Inputs!$C$27)-Reference!B$10*($A190*1000-Inputs!$C$27)/1000)</f>
        <v/>
      </c>
      <c r="C190" s="17" t="str">
        <f aca="false">IF(OR(Inputs!$B$27="",Inputs!$C$27=""),"",Inputs!C$32+Inputs!$B$27-Inputs!$K$32-20*LOG10($A190*1000/Inputs!$C$27)-Reference!C$10*($A190*1000-Inputs!$C$27)/1000)</f>
        <v/>
      </c>
      <c r="D190" s="17" t="str">
        <f aca="false">IF(OR(Inputs!$B$27="",Inputs!$C$27=""),"",Inputs!D$32+Inputs!$B$27-Inputs!$K$32-20*LOG10($A190*1000/Inputs!$C$27)-Reference!D$10*($A190*1000-Inputs!$C$27)/1000)</f>
        <v/>
      </c>
      <c r="E190" s="17" t="str">
        <f aca="false">IF(OR(Inputs!$B$27="",Inputs!$C$27=""),"",Inputs!E$32+Inputs!$B$27-Inputs!$K$32-20*LOG10($A190*1000/Inputs!$C$27)-Reference!E$10*($A190*1000-Inputs!$C$27)/1000)</f>
        <v/>
      </c>
      <c r="F190" s="17" t="str">
        <f aca="false">IF(OR(Inputs!$B$27="",Inputs!$C$27=""),"",Inputs!F$32+Inputs!$B$27-Inputs!$K$32-20*LOG10($A190*1000/Inputs!$C$27)-Reference!F$10*($A190*1000-Inputs!$C$27)/1000)</f>
        <v/>
      </c>
      <c r="G190" s="17" t="str">
        <f aca="false">IF(OR(Inputs!$B$27="",Inputs!$C$27=""),"",Inputs!G$32+Inputs!$B$27-Inputs!$K$32-20*LOG10($A190*1000/Inputs!$C$27)-Reference!G$10*($A190*1000-Inputs!$C$27)/1000)</f>
        <v/>
      </c>
      <c r="H190" s="17" t="str">
        <f aca="false">IF(OR(Inputs!$B$27="",Inputs!$C$27=""),"",Inputs!H$32+Inputs!$B$27-Inputs!$K$32-20*LOG10($A190*1000/Inputs!$C$27)-Reference!H$10*($A190*1000-Inputs!$C$27)/1000)</f>
        <v/>
      </c>
      <c r="I190" s="17" t="str">
        <f aca="false">IF(OR(Inputs!$B$27="",Inputs!$C$27=""),"",Inputs!I$32+Inputs!$B$27-Inputs!$K$32-20*LOG10($A190*1000/Inputs!$C$27)-Reference!I$10*($A190*1000-Inputs!$C$27)/1000)</f>
        <v/>
      </c>
      <c r="J190" s="17" t="str">
        <f aca="false">IF(OR(Inputs!$B$27="",Inputs!$C$27=""),"",Inputs!J$32+Inputs!$B$27-Inputs!$K$32-20*LOG10($A190*1000/Inputs!$C$27)-Reference!J$10*($A190*1000-Inputs!$C$27)/1000)</f>
        <v/>
      </c>
      <c r="K190" s="17" t="str">
        <f aca="false">IF(COUNT(B190:J190)&lt;9,"",10*LOG10(SUMPRODUCT(10^((B190:J190+Reference!$B$7:$J$7)/10))))</f>
        <v/>
      </c>
      <c r="L190" s="17" t="str">
        <f aca="false">IF(COUNT(B190:J190)&lt;9,"",10*LOG10(SUMPRODUCT(10^((B190:J190+Reference!$B$8:$J$8)/10))))</f>
        <v/>
      </c>
      <c r="M190" s="17" t="str">
        <f aca="false">IF(ISNUMBER(K190),Inputs!$B$12-K190,"")</f>
        <v/>
      </c>
      <c r="N190" s="8" t="str">
        <f aca="false">IF(ISNUMBER(M190),IF(M190&gt;=0,"yes","no"),"")</f>
        <v/>
      </c>
    </row>
    <row r="191" customFormat="false" ht="15" hidden="false" customHeight="false" outlineLevel="0" collapsed="false">
      <c r="A191" s="20" t="n">
        <f aca="false">Inputs!$A$19</f>
        <v>5</v>
      </c>
      <c r="B191" s="17" t="str">
        <f aca="false">IF(OR(Inputs!$B$27="",Inputs!$C$27=""),"",Inputs!B$32+Inputs!$B$27-Inputs!$K$32-20*LOG10($A191*1000/Inputs!$C$27)-Reference!B$10*($A191*1000-Inputs!$C$27)/1000)</f>
        <v/>
      </c>
      <c r="C191" s="17" t="str">
        <f aca="false">IF(OR(Inputs!$B$27="",Inputs!$C$27=""),"",Inputs!C$32+Inputs!$B$27-Inputs!$K$32-20*LOG10($A191*1000/Inputs!$C$27)-Reference!C$10*($A191*1000-Inputs!$C$27)/1000)</f>
        <v/>
      </c>
      <c r="D191" s="17" t="str">
        <f aca="false">IF(OR(Inputs!$B$27="",Inputs!$C$27=""),"",Inputs!D$32+Inputs!$B$27-Inputs!$K$32-20*LOG10($A191*1000/Inputs!$C$27)-Reference!D$10*($A191*1000-Inputs!$C$27)/1000)</f>
        <v/>
      </c>
      <c r="E191" s="17" t="str">
        <f aca="false">IF(OR(Inputs!$B$27="",Inputs!$C$27=""),"",Inputs!E$32+Inputs!$B$27-Inputs!$K$32-20*LOG10($A191*1000/Inputs!$C$27)-Reference!E$10*($A191*1000-Inputs!$C$27)/1000)</f>
        <v/>
      </c>
      <c r="F191" s="17" t="str">
        <f aca="false">IF(OR(Inputs!$B$27="",Inputs!$C$27=""),"",Inputs!F$32+Inputs!$B$27-Inputs!$K$32-20*LOG10($A191*1000/Inputs!$C$27)-Reference!F$10*($A191*1000-Inputs!$C$27)/1000)</f>
        <v/>
      </c>
      <c r="G191" s="17" t="str">
        <f aca="false">IF(OR(Inputs!$B$27="",Inputs!$C$27=""),"",Inputs!G$32+Inputs!$B$27-Inputs!$K$32-20*LOG10($A191*1000/Inputs!$C$27)-Reference!G$10*($A191*1000-Inputs!$C$27)/1000)</f>
        <v/>
      </c>
      <c r="H191" s="17" t="str">
        <f aca="false">IF(OR(Inputs!$B$27="",Inputs!$C$27=""),"",Inputs!H$32+Inputs!$B$27-Inputs!$K$32-20*LOG10($A191*1000/Inputs!$C$27)-Reference!H$10*($A191*1000-Inputs!$C$27)/1000)</f>
        <v/>
      </c>
      <c r="I191" s="17" t="str">
        <f aca="false">IF(OR(Inputs!$B$27="",Inputs!$C$27=""),"",Inputs!I$32+Inputs!$B$27-Inputs!$K$32-20*LOG10($A191*1000/Inputs!$C$27)-Reference!I$10*($A191*1000-Inputs!$C$27)/1000)</f>
        <v/>
      </c>
      <c r="J191" s="17" t="str">
        <f aca="false">IF(OR(Inputs!$B$27="",Inputs!$C$27=""),"",Inputs!J$32+Inputs!$B$27-Inputs!$K$32-20*LOG10($A191*1000/Inputs!$C$27)-Reference!J$10*($A191*1000-Inputs!$C$27)/1000)</f>
        <v/>
      </c>
      <c r="K191" s="17" t="str">
        <f aca="false">IF(COUNT(B191:J191)&lt;9,"",10*LOG10(SUMPRODUCT(10^((B191:J191+Reference!$B$7:$J$7)/10))))</f>
        <v/>
      </c>
      <c r="L191" s="17" t="str">
        <f aca="false">IF(COUNT(B191:J191)&lt;9,"",10*LOG10(SUMPRODUCT(10^((B191:J191+Reference!$B$8:$J$8)/10))))</f>
        <v/>
      </c>
      <c r="M191" s="17" t="str">
        <f aca="false">IF(ISNUMBER(K191),Inputs!$B$12-K191,"")</f>
        <v/>
      </c>
      <c r="N191" s="8" t="str">
        <f aca="false">IF(ISNUMBER(M191),IF(M191&gt;=0,"yes","no"),"")</f>
        <v/>
      </c>
    </row>
    <row r="192" customFormat="false" ht="15" hidden="false" customHeight="false" outlineLevel="0" collapsed="false">
      <c r="A192" s="20" t="n">
        <f aca="false">Inputs!$A$20</f>
        <v>10</v>
      </c>
      <c r="B192" s="17" t="str">
        <f aca="false">IF(OR(Inputs!$B$27="",Inputs!$C$27=""),"",Inputs!B$32+Inputs!$B$27-Inputs!$K$32-20*LOG10($A192*1000/Inputs!$C$27)-Reference!B$10*($A192*1000-Inputs!$C$27)/1000)</f>
        <v/>
      </c>
      <c r="C192" s="17" t="str">
        <f aca="false">IF(OR(Inputs!$B$27="",Inputs!$C$27=""),"",Inputs!C$32+Inputs!$B$27-Inputs!$K$32-20*LOG10($A192*1000/Inputs!$C$27)-Reference!C$10*($A192*1000-Inputs!$C$27)/1000)</f>
        <v/>
      </c>
      <c r="D192" s="17" t="str">
        <f aca="false">IF(OR(Inputs!$B$27="",Inputs!$C$27=""),"",Inputs!D$32+Inputs!$B$27-Inputs!$K$32-20*LOG10($A192*1000/Inputs!$C$27)-Reference!D$10*($A192*1000-Inputs!$C$27)/1000)</f>
        <v/>
      </c>
      <c r="E192" s="17" t="str">
        <f aca="false">IF(OR(Inputs!$B$27="",Inputs!$C$27=""),"",Inputs!E$32+Inputs!$B$27-Inputs!$K$32-20*LOG10($A192*1000/Inputs!$C$27)-Reference!E$10*($A192*1000-Inputs!$C$27)/1000)</f>
        <v/>
      </c>
      <c r="F192" s="17" t="str">
        <f aca="false">IF(OR(Inputs!$B$27="",Inputs!$C$27=""),"",Inputs!F$32+Inputs!$B$27-Inputs!$K$32-20*LOG10($A192*1000/Inputs!$C$27)-Reference!F$10*($A192*1000-Inputs!$C$27)/1000)</f>
        <v/>
      </c>
      <c r="G192" s="17" t="str">
        <f aca="false">IF(OR(Inputs!$B$27="",Inputs!$C$27=""),"",Inputs!G$32+Inputs!$B$27-Inputs!$K$32-20*LOG10($A192*1000/Inputs!$C$27)-Reference!G$10*($A192*1000-Inputs!$C$27)/1000)</f>
        <v/>
      </c>
      <c r="H192" s="17" t="str">
        <f aca="false">IF(OR(Inputs!$B$27="",Inputs!$C$27=""),"",Inputs!H$32+Inputs!$B$27-Inputs!$K$32-20*LOG10($A192*1000/Inputs!$C$27)-Reference!H$10*($A192*1000-Inputs!$C$27)/1000)</f>
        <v/>
      </c>
      <c r="I192" s="17" t="str">
        <f aca="false">IF(OR(Inputs!$B$27="",Inputs!$C$27=""),"",Inputs!I$32+Inputs!$B$27-Inputs!$K$32-20*LOG10($A192*1000/Inputs!$C$27)-Reference!I$10*($A192*1000-Inputs!$C$27)/1000)</f>
        <v/>
      </c>
      <c r="J192" s="17" t="str">
        <f aca="false">IF(OR(Inputs!$B$27="",Inputs!$C$27=""),"",Inputs!J$32+Inputs!$B$27-Inputs!$K$32-20*LOG10($A192*1000/Inputs!$C$27)-Reference!J$10*($A192*1000-Inputs!$C$27)/1000)</f>
        <v/>
      </c>
      <c r="K192" s="17" t="str">
        <f aca="false">IF(COUNT(B192:J192)&lt;9,"",10*LOG10(SUMPRODUCT(10^((B192:J192+Reference!$B$7:$J$7)/10))))</f>
        <v/>
      </c>
      <c r="L192" s="17" t="str">
        <f aca="false">IF(COUNT(B192:J192)&lt;9,"",10*LOG10(SUMPRODUCT(10^((B192:J192+Reference!$B$8:$J$8)/10))))</f>
        <v/>
      </c>
      <c r="M192" s="17" t="str">
        <f aca="false">IF(ISNUMBER(K192),Inputs!$B$12-K192,"")</f>
        <v/>
      </c>
      <c r="N192" s="8" t="str">
        <f aca="false">IF(ISNUMBER(M192),IF(M192&gt;=0,"yes","no"),"")</f>
        <v/>
      </c>
    </row>
    <row r="193" customFormat="false" ht="15" hidden="false" customHeight="false" outlineLevel="0" collapsed="false">
      <c r="A193" s="7" t="s">
        <v>124</v>
      </c>
    </row>
    <row r="194" customFormat="false" ht="23.85" hidden="false" customHeight="false" outlineLevel="0" collapsed="false">
      <c r="A194" s="13" t="s">
        <v>114</v>
      </c>
      <c r="B194" s="13" t="s">
        <v>64</v>
      </c>
      <c r="C194" s="13" t="s">
        <v>65</v>
      </c>
      <c r="D194" s="13" t="s">
        <v>66</v>
      </c>
      <c r="E194" s="13" t="s">
        <v>67</v>
      </c>
      <c r="F194" s="13" t="s">
        <v>68</v>
      </c>
      <c r="G194" s="13" t="s">
        <v>69</v>
      </c>
      <c r="H194" s="13" t="s">
        <v>70</v>
      </c>
      <c r="I194" s="13" t="s">
        <v>71</v>
      </c>
      <c r="J194" s="13" t="s">
        <v>72</v>
      </c>
      <c r="K194" s="13" t="s">
        <v>125</v>
      </c>
      <c r="L194" s="13" t="s">
        <v>88</v>
      </c>
    </row>
    <row r="195" customFormat="false" ht="15" hidden="false" customHeight="false" outlineLevel="0" collapsed="false">
      <c r="A195" s="17" t="n">
        <f aca="false">A187</f>
        <v>0.5</v>
      </c>
      <c r="B195" s="17" t="str">
        <f aca="false">IF(ISNUMBER(B187),Reference!B$9-B187,"")</f>
        <v/>
      </c>
      <c r="C195" s="17" t="str">
        <f aca="false">IF(ISNUMBER(C187),Reference!C$9-C187,"")</f>
        <v/>
      </c>
      <c r="D195" s="17" t="str">
        <f aca="false">IF(ISNUMBER(D187),Reference!D$9-D187,"")</f>
        <v/>
      </c>
      <c r="E195" s="17" t="str">
        <f aca="false">IF(ISNUMBER(E187),Reference!E$9-E187,"")</f>
        <v/>
      </c>
      <c r="F195" s="17" t="str">
        <f aca="false">IF(ISNUMBER(F187),Reference!F$9-F187,"")</f>
        <v/>
      </c>
      <c r="G195" s="17" t="str">
        <f aca="false">IF(ISNUMBER(G187),Reference!G$9-G187,"")</f>
        <v/>
      </c>
      <c r="H195" s="17" t="str">
        <f aca="false">IF(ISNUMBER(H187),Reference!H$9-H187,"")</f>
        <v/>
      </c>
      <c r="I195" s="17" t="str">
        <f aca="false">IF(ISNUMBER(I187),Reference!I$9-I187,"")</f>
        <v/>
      </c>
      <c r="J195" s="17" t="str">
        <f aca="false">IF(ISNUMBER(J187),Reference!J$9-J187,"")</f>
        <v/>
      </c>
      <c r="K195" s="17" t="str">
        <f aca="false">IF(COUNT(B195:J195)=0,"",MIN(B195:J195))</f>
        <v/>
      </c>
      <c r="L195" s="8" t="str">
        <f aca="false">IF(COUNT(B195:J195)&lt;9,"",IF(K195&gt;=0,"yes","no"))</f>
        <v/>
      </c>
    </row>
    <row r="196" customFormat="false" ht="15" hidden="false" customHeight="false" outlineLevel="0" collapsed="false">
      <c r="A196" s="17" t="n">
        <f aca="false">A188</f>
        <v>1</v>
      </c>
      <c r="B196" s="17" t="str">
        <f aca="false">IF(ISNUMBER(B188),Reference!B$9-B188,"")</f>
        <v/>
      </c>
      <c r="C196" s="17" t="str">
        <f aca="false">IF(ISNUMBER(C188),Reference!C$9-C188,"")</f>
        <v/>
      </c>
      <c r="D196" s="17" t="str">
        <f aca="false">IF(ISNUMBER(D188),Reference!D$9-D188,"")</f>
        <v/>
      </c>
      <c r="E196" s="17" t="str">
        <f aca="false">IF(ISNUMBER(E188),Reference!E$9-E188,"")</f>
        <v/>
      </c>
      <c r="F196" s="17" t="str">
        <f aca="false">IF(ISNUMBER(F188),Reference!F$9-F188,"")</f>
        <v/>
      </c>
      <c r="G196" s="17" t="str">
        <f aca="false">IF(ISNUMBER(G188),Reference!G$9-G188,"")</f>
        <v/>
      </c>
      <c r="H196" s="17" t="str">
        <f aca="false">IF(ISNUMBER(H188),Reference!H$9-H188,"")</f>
        <v/>
      </c>
      <c r="I196" s="17" t="str">
        <f aca="false">IF(ISNUMBER(I188),Reference!I$9-I188,"")</f>
        <v/>
      </c>
      <c r="J196" s="17" t="str">
        <f aca="false">IF(ISNUMBER(J188),Reference!J$9-J188,"")</f>
        <v/>
      </c>
      <c r="K196" s="17" t="str">
        <f aca="false">IF(COUNT(B196:J196)=0,"",MIN(B196:J196))</f>
        <v/>
      </c>
      <c r="L196" s="8" t="str">
        <f aca="false">IF(COUNT(B196:J196)&lt;9,"",IF(K196&gt;=0,"yes","no"))</f>
        <v/>
      </c>
    </row>
    <row r="197" customFormat="false" ht="15" hidden="false" customHeight="false" outlineLevel="0" collapsed="false">
      <c r="A197" s="17" t="n">
        <f aca="false">A189</f>
        <v>2</v>
      </c>
      <c r="B197" s="17" t="str">
        <f aca="false">IF(ISNUMBER(B189),Reference!B$9-B189,"")</f>
        <v/>
      </c>
      <c r="C197" s="17" t="str">
        <f aca="false">IF(ISNUMBER(C189),Reference!C$9-C189,"")</f>
        <v/>
      </c>
      <c r="D197" s="17" t="str">
        <f aca="false">IF(ISNUMBER(D189),Reference!D$9-D189,"")</f>
        <v/>
      </c>
      <c r="E197" s="17" t="str">
        <f aca="false">IF(ISNUMBER(E189),Reference!E$9-E189,"")</f>
        <v/>
      </c>
      <c r="F197" s="17" t="str">
        <f aca="false">IF(ISNUMBER(F189),Reference!F$9-F189,"")</f>
        <v/>
      </c>
      <c r="G197" s="17" t="str">
        <f aca="false">IF(ISNUMBER(G189),Reference!G$9-G189,"")</f>
        <v/>
      </c>
      <c r="H197" s="17" t="str">
        <f aca="false">IF(ISNUMBER(H189),Reference!H$9-H189,"")</f>
        <v/>
      </c>
      <c r="I197" s="17" t="str">
        <f aca="false">IF(ISNUMBER(I189),Reference!I$9-I189,"")</f>
        <v/>
      </c>
      <c r="J197" s="17" t="str">
        <f aca="false">IF(ISNUMBER(J189),Reference!J$9-J189,"")</f>
        <v/>
      </c>
      <c r="K197" s="17" t="str">
        <f aca="false">IF(COUNT(B197:J197)=0,"",MIN(B197:J197))</f>
        <v/>
      </c>
      <c r="L197" s="8" t="str">
        <f aca="false">IF(COUNT(B197:J197)&lt;9,"",IF(K197&gt;=0,"yes","no"))</f>
        <v/>
      </c>
    </row>
    <row r="198" customFormat="false" ht="15" hidden="false" customHeight="false" outlineLevel="0" collapsed="false">
      <c r="A198" s="17" t="n">
        <f aca="false">A190</f>
        <v>3</v>
      </c>
      <c r="B198" s="17" t="str">
        <f aca="false">IF(ISNUMBER(B190),Reference!B$9-B190,"")</f>
        <v/>
      </c>
      <c r="C198" s="17" t="str">
        <f aca="false">IF(ISNUMBER(C190),Reference!C$9-C190,"")</f>
        <v/>
      </c>
      <c r="D198" s="17" t="str">
        <f aca="false">IF(ISNUMBER(D190),Reference!D$9-D190,"")</f>
        <v/>
      </c>
      <c r="E198" s="17" t="str">
        <f aca="false">IF(ISNUMBER(E190),Reference!E$9-E190,"")</f>
        <v/>
      </c>
      <c r="F198" s="17" t="str">
        <f aca="false">IF(ISNUMBER(F190),Reference!F$9-F190,"")</f>
        <v/>
      </c>
      <c r="G198" s="17" t="str">
        <f aca="false">IF(ISNUMBER(G190),Reference!G$9-G190,"")</f>
        <v/>
      </c>
      <c r="H198" s="17" t="str">
        <f aca="false">IF(ISNUMBER(H190),Reference!H$9-H190,"")</f>
        <v/>
      </c>
      <c r="I198" s="17" t="str">
        <f aca="false">IF(ISNUMBER(I190),Reference!I$9-I190,"")</f>
        <v/>
      </c>
      <c r="J198" s="17" t="str">
        <f aca="false">IF(ISNUMBER(J190),Reference!J$9-J190,"")</f>
        <v/>
      </c>
      <c r="K198" s="17" t="str">
        <f aca="false">IF(COUNT(B198:J198)=0,"",MIN(B198:J198))</f>
        <v/>
      </c>
      <c r="L198" s="8" t="str">
        <f aca="false">IF(COUNT(B198:J198)&lt;9,"",IF(K198&gt;=0,"yes","no"))</f>
        <v/>
      </c>
    </row>
    <row r="199" customFormat="false" ht="15" hidden="false" customHeight="false" outlineLevel="0" collapsed="false">
      <c r="A199" s="17" t="n">
        <f aca="false">A191</f>
        <v>5</v>
      </c>
      <c r="B199" s="17" t="str">
        <f aca="false">IF(ISNUMBER(B191),Reference!B$9-B191,"")</f>
        <v/>
      </c>
      <c r="C199" s="17" t="str">
        <f aca="false">IF(ISNUMBER(C191),Reference!C$9-C191,"")</f>
        <v/>
      </c>
      <c r="D199" s="17" t="str">
        <f aca="false">IF(ISNUMBER(D191),Reference!D$9-D191,"")</f>
        <v/>
      </c>
      <c r="E199" s="17" t="str">
        <f aca="false">IF(ISNUMBER(E191),Reference!E$9-E191,"")</f>
        <v/>
      </c>
      <c r="F199" s="17" t="str">
        <f aca="false">IF(ISNUMBER(F191),Reference!F$9-F191,"")</f>
        <v/>
      </c>
      <c r="G199" s="17" t="str">
        <f aca="false">IF(ISNUMBER(G191),Reference!G$9-G191,"")</f>
        <v/>
      </c>
      <c r="H199" s="17" t="str">
        <f aca="false">IF(ISNUMBER(H191),Reference!H$9-H191,"")</f>
        <v/>
      </c>
      <c r="I199" s="17" t="str">
        <f aca="false">IF(ISNUMBER(I191),Reference!I$9-I191,"")</f>
        <v/>
      </c>
      <c r="J199" s="17" t="str">
        <f aca="false">IF(ISNUMBER(J191),Reference!J$9-J191,"")</f>
        <v/>
      </c>
      <c r="K199" s="17" t="str">
        <f aca="false">IF(COUNT(B199:J199)=0,"",MIN(B199:J199))</f>
        <v/>
      </c>
      <c r="L199" s="8" t="str">
        <f aca="false">IF(COUNT(B199:J199)&lt;9,"",IF(K199&gt;=0,"yes","no"))</f>
        <v/>
      </c>
    </row>
    <row r="200" customFormat="false" ht="15" hidden="false" customHeight="false" outlineLevel="0" collapsed="false">
      <c r="A200" s="17" t="n">
        <f aca="false">A192</f>
        <v>10</v>
      </c>
      <c r="B200" s="17" t="str">
        <f aca="false">IF(ISNUMBER(B192),Reference!B$9-B192,"")</f>
        <v/>
      </c>
      <c r="C200" s="17" t="str">
        <f aca="false">IF(ISNUMBER(C192),Reference!C$9-C192,"")</f>
        <v/>
      </c>
      <c r="D200" s="17" t="str">
        <f aca="false">IF(ISNUMBER(D192),Reference!D$9-D192,"")</f>
        <v/>
      </c>
      <c r="E200" s="17" t="str">
        <f aca="false">IF(ISNUMBER(E192),Reference!E$9-E192,"")</f>
        <v/>
      </c>
      <c r="F200" s="17" t="str">
        <f aca="false">IF(ISNUMBER(F192),Reference!F$9-F192,"")</f>
        <v/>
      </c>
      <c r="G200" s="17" t="str">
        <f aca="false">IF(ISNUMBER(G192),Reference!G$9-G192,"")</f>
        <v/>
      </c>
      <c r="H200" s="17" t="str">
        <f aca="false">IF(ISNUMBER(H192),Reference!H$9-H192,"")</f>
        <v/>
      </c>
      <c r="I200" s="17" t="str">
        <f aca="false">IF(ISNUMBER(I192),Reference!I$9-I192,"")</f>
        <v/>
      </c>
      <c r="J200" s="17" t="str">
        <f aca="false">IF(ISNUMBER(J192),Reference!J$9-J192,"")</f>
        <v/>
      </c>
      <c r="K200" s="17" t="str">
        <f aca="false">IF(COUNT(B200:J200)=0,"",MIN(B200:J200))</f>
        <v/>
      </c>
      <c r="L200" s="8" t="str">
        <f aca="false">IF(COUNT(B200:J200)&lt;9,"",IF(K200&gt;=0,"yes","no"))</f>
        <v/>
      </c>
    </row>
    <row r="202" customFormat="false" ht="15" hidden="false" customHeight="false" outlineLevel="0" collapsed="false">
      <c r="A202" s="26" t="str">
        <f aca="false">"Class: "&amp;Inputs!A27&amp;"   Character: "&amp;Inputs!A33</f>
        <v>Class: Custom (measured)   Character: Very bass heavy</v>
      </c>
    </row>
    <row r="203" customFormat="false" ht="15" hidden="false" customHeight="false" outlineLevel="0" collapsed="false">
      <c r="A203" s="7" t="s">
        <v>120</v>
      </c>
    </row>
    <row r="204" customFormat="false" ht="23.85" hidden="false" customHeight="false" outlineLevel="0" collapsed="false">
      <c r="A204" s="13" t="s">
        <v>114</v>
      </c>
      <c r="B204" s="13" t="s">
        <v>64</v>
      </c>
      <c r="C204" s="13" t="s">
        <v>65</v>
      </c>
      <c r="D204" s="13" t="s">
        <v>66</v>
      </c>
      <c r="E204" s="13" t="s">
        <v>67</v>
      </c>
      <c r="F204" s="13" t="s">
        <v>68</v>
      </c>
      <c r="G204" s="13" t="s">
        <v>69</v>
      </c>
      <c r="H204" s="13" t="s">
        <v>70</v>
      </c>
      <c r="I204" s="13" t="s">
        <v>71</v>
      </c>
      <c r="J204" s="13" t="s">
        <v>72</v>
      </c>
      <c r="K204" s="13" t="s">
        <v>121</v>
      </c>
      <c r="L204" s="13" t="s">
        <v>122</v>
      </c>
      <c r="M204" s="13" t="s">
        <v>86</v>
      </c>
      <c r="N204" s="13" t="s">
        <v>123</v>
      </c>
    </row>
    <row r="205" customFormat="false" ht="15" hidden="false" customHeight="false" outlineLevel="0" collapsed="false">
      <c r="A205" s="20" t="n">
        <f aca="false">Inputs!$A$15</f>
        <v>0.5</v>
      </c>
      <c r="B205" s="17" t="str">
        <f aca="false">IF(OR(Inputs!$B$27="",Inputs!$C$27=""),"",Inputs!B$33+Inputs!$B$27-Inputs!$K$33-20*LOG10($A205*1000/Inputs!$C$27)-Reference!B$10*($A205*1000-Inputs!$C$27)/1000)</f>
        <v/>
      </c>
      <c r="C205" s="17" t="str">
        <f aca="false">IF(OR(Inputs!$B$27="",Inputs!$C$27=""),"",Inputs!C$33+Inputs!$B$27-Inputs!$K$33-20*LOG10($A205*1000/Inputs!$C$27)-Reference!C$10*($A205*1000-Inputs!$C$27)/1000)</f>
        <v/>
      </c>
      <c r="D205" s="17" t="str">
        <f aca="false">IF(OR(Inputs!$B$27="",Inputs!$C$27=""),"",Inputs!D$33+Inputs!$B$27-Inputs!$K$33-20*LOG10($A205*1000/Inputs!$C$27)-Reference!D$10*($A205*1000-Inputs!$C$27)/1000)</f>
        <v/>
      </c>
      <c r="E205" s="17" t="str">
        <f aca="false">IF(OR(Inputs!$B$27="",Inputs!$C$27=""),"",Inputs!E$33+Inputs!$B$27-Inputs!$K$33-20*LOG10($A205*1000/Inputs!$C$27)-Reference!E$10*($A205*1000-Inputs!$C$27)/1000)</f>
        <v/>
      </c>
      <c r="F205" s="17" t="str">
        <f aca="false">IF(OR(Inputs!$B$27="",Inputs!$C$27=""),"",Inputs!F$33+Inputs!$B$27-Inputs!$K$33-20*LOG10($A205*1000/Inputs!$C$27)-Reference!F$10*($A205*1000-Inputs!$C$27)/1000)</f>
        <v/>
      </c>
      <c r="G205" s="17" t="str">
        <f aca="false">IF(OR(Inputs!$B$27="",Inputs!$C$27=""),"",Inputs!G$33+Inputs!$B$27-Inputs!$K$33-20*LOG10($A205*1000/Inputs!$C$27)-Reference!G$10*($A205*1000-Inputs!$C$27)/1000)</f>
        <v/>
      </c>
      <c r="H205" s="17" t="str">
        <f aca="false">IF(OR(Inputs!$B$27="",Inputs!$C$27=""),"",Inputs!H$33+Inputs!$B$27-Inputs!$K$33-20*LOG10($A205*1000/Inputs!$C$27)-Reference!H$10*($A205*1000-Inputs!$C$27)/1000)</f>
        <v/>
      </c>
      <c r="I205" s="17" t="str">
        <f aca="false">IF(OR(Inputs!$B$27="",Inputs!$C$27=""),"",Inputs!I$33+Inputs!$B$27-Inputs!$K$33-20*LOG10($A205*1000/Inputs!$C$27)-Reference!I$10*($A205*1000-Inputs!$C$27)/1000)</f>
        <v/>
      </c>
      <c r="J205" s="17" t="str">
        <f aca="false">IF(OR(Inputs!$B$27="",Inputs!$C$27=""),"",Inputs!J$33+Inputs!$B$27-Inputs!$K$33-20*LOG10($A205*1000/Inputs!$C$27)-Reference!J$10*($A205*1000-Inputs!$C$27)/1000)</f>
        <v/>
      </c>
      <c r="K205" s="17" t="str">
        <f aca="false">IF(COUNT(B205:J205)&lt;9,"",10*LOG10(SUMPRODUCT(10^((B205:J205+Reference!$B$7:$J$7)/10))))</f>
        <v/>
      </c>
      <c r="L205" s="17" t="str">
        <f aca="false">IF(COUNT(B205:J205)&lt;9,"",10*LOG10(SUMPRODUCT(10^((B205:J205+Reference!$B$8:$J$8)/10))))</f>
        <v/>
      </c>
      <c r="M205" s="17" t="str">
        <f aca="false">IF(ISNUMBER(K205),Inputs!$B$12-K205,"")</f>
        <v/>
      </c>
      <c r="N205" s="8" t="str">
        <f aca="false">IF(ISNUMBER(M205),IF(M205&gt;=0,"yes","no"),"")</f>
        <v/>
      </c>
    </row>
    <row r="206" customFormat="false" ht="15" hidden="false" customHeight="false" outlineLevel="0" collapsed="false">
      <c r="A206" s="20" t="n">
        <f aca="false">Inputs!$A$16</f>
        <v>1</v>
      </c>
      <c r="B206" s="17" t="str">
        <f aca="false">IF(OR(Inputs!$B$27="",Inputs!$C$27=""),"",Inputs!B$33+Inputs!$B$27-Inputs!$K$33-20*LOG10($A206*1000/Inputs!$C$27)-Reference!B$10*($A206*1000-Inputs!$C$27)/1000)</f>
        <v/>
      </c>
      <c r="C206" s="17" t="str">
        <f aca="false">IF(OR(Inputs!$B$27="",Inputs!$C$27=""),"",Inputs!C$33+Inputs!$B$27-Inputs!$K$33-20*LOG10($A206*1000/Inputs!$C$27)-Reference!C$10*($A206*1000-Inputs!$C$27)/1000)</f>
        <v/>
      </c>
      <c r="D206" s="17" t="str">
        <f aca="false">IF(OR(Inputs!$B$27="",Inputs!$C$27=""),"",Inputs!D$33+Inputs!$B$27-Inputs!$K$33-20*LOG10($A206*1000/Inputs!$C$27)-Reference!D$10*($A206*1000-Inputs!$C$27)/1000)</f>
        <v/>
      </c>
      <c r="E206" s="17" t="str">
        <f aca="false">IF(OR(Inputs!$B$27="",Inputs!$C$27=""),"",Inputs!E$33+Inputs!$B$27-Inputs!$K$33-20*LOG10($A206*1000/Inputs!$C$27)-Reference!E$10*($A206*1000-Inputs!$C$27)/1000)</f>
        <v/>
      </c>
      <c r="F206" s="17" t="str">
        <f aca="false">IF(OR(Inputs!$B$27="",Inputs!$C$27=""),"",Inputs!F$33+Inputs!$B$27-Inputs!$K$33-20*LOG10($A206*1000/Inputs!$C$27)-Reference!F$10*($A206*1000-Inputs!$C$27)/1000)</f>
        <v/>
      </c>
      <c r="G206" s="17" t="str">
        <f aca="false">IF(OR(Inputs!$B$27="",Inputs!$C$27=""),"",Inputs!G$33+Inputs!$B$27-Inputs!$K$33-20*LOG10($A206*1000/Inputs!$C$27)-Reference!G$10*($A206*1000-Inputs!$C$27)/1000)</f>
        <v/>
      </c>
      <c r="H206" s="17" t="str">
        <f aca="false">IF(OR(Inputs!$B$27="",Inputs!$C$27=""),"",Inputs!H$33+Inputs!$B$27-Inputs!$K$33-20*LOG10($A206*1000/Inputs!$C$27)-Reference!H$10*($A206*1000-Inputs!$C$27)/1000)</f>
        <v/>
      </c>
      <c r="I206" s="17" t="str">
        <f aca="false">IF(OR(Inputs!$B$27="",Inputs!$C$27=""),"",Inputs!I$33+Inputs!$B$27-Inputs!$K$33-20*LOG10($A206*1000/Inputs!$C$27)-Reference!I$10*($A206*1000-Inputs!$C$27)/1000)</f>
        <v/>
      </c>
      <c r="J206" s="17" t="str">
        <f aca="false">IF(OR(Inputs!$B$27="",Inputs!$C$27=""),"",Inputs!J$33+Inputs!$B$27-Inputs!$K$33-20*LOG10($A206*1000/Inputs!$C$27)-Reference!J$10*($A206*1000-Inputs!$C$27)/1000)</f>
        <v/>
      </c>
      <c r="K206" s="17" t="str">
        <f aca="false">IF(COUNT(B206:J206)&lt;9,"",10*LOG10(SUMPRODUCT(10^((B206:J206+Reference!$B$7:$J$7)/10))))</f>
        <v/>
      </c>
      <c r="L206" s="17" t="str">
        <f aca="false">IF(COUNT(B206:J206)&lt;9,"",10*LOG10(SUMPRODUCT(10^((B206:J206+Reference!$B$8:$J$8)/10))))</f>
        <v/>
      </c>
      <c r="M206" s="17" t="str">
        <f aca="false">IF(ISNUMBER(K206),Inputs!$B$12-K206,"")</f>
        <v/>
      </c>
      <c r="N206" s="8" t="str">
        <f aca="false">IF(ISNUMBER(M206),IF(M206&gt;=0,"yes","no"),"")</f>
        <v/>
      </c>
    </row>
    <row r="207" customFormat="false" ht="15" hidden="false" customHeight="false" outlineLevel="0" collapsed="false">
      <c r="A207" s="20" t="n">
        <f aca="false">Inputs!$A$17</f>
        <v>2</v>
      </c>
      <c r="B207" s="17" t="str">
        <f aca="false">IF(OR(Inputs!$B$27="",Inputs!$C$27=""),"",Inputs!B$33+Inputs!$B$27-Inputs!$K$33-20*LOG10($A207*1000/Inputs!$C$27)-Reference!B$10*($A207*1000-Inputs!$C$27)/1000)</f>
        <v/>
      </c>
      <c r="C207" s="17" t="str">
        <f aca="false">IF(OR(Inputs!$B$27="",Inputs!$C$27=""),"",Inputs!C$33+Inputs!$B$27-Inputs!$K$33-20*LOG10($A207*1000/Inputs!$C$27)-Reference!C$10*($A207*1000-Inputs!$C$27)/1000)</f>
        <v/>
      </c>
      <c r="D207" s="17" t="str">
        <f aca="false">IF(OR(Inputs!$B$27="",Inputs!$C$27=""),"",Inputs!D$33+Inputs!$B$27-Inputs!$K$33-20*LOG10($A207*1000/Inputs!$C$27)-Reference!D$10*($A207*1000-Inputs!$C$27)/1000)</f>
        <v/>
      </c>
      <c r="E207" s="17" t="str">
        <f aca="false">IF(OR(Inputs!$B$27="",Inputs!$C$27=""),"",Inputs!E$33+Inputs!$B$27-Inputs!$K$33-20*LOG10($A207*1000/Inputs!$C$27)-Reference!E$10*($A207*1000-Inputs!$C$27)/1000)</f>
        <v/>
      </c>
      <c r="F207" s="17" t="str">
        <f aca="false">IF(OR(Inputs!$B$27="",Inputs!$C$27=""),"",Inputs!F$33+Inputs!$B$27-Inputs!$K$33-20*LOG10($A207*1000/Inputs!$C$27)-Reference!F$10*($A207*1000-Inputs!$C$27)/1000)</f>
        <v/>
      </c>
      <c r="G207" s="17" t="str">
        <f aca="false">IF(OR(Inputs!$B$27="",Inputs!$C$27=""),"",Inputs!G$33+Inputs!$B$27-Inputs!$K$33-20*LOG10($A207*1000/Inputs!$C$27)-Reference!G$10*($A207*1000-Inputs!$C$27)/1000)</f>
        <v/>
      </c>
      <c r="H207" s="17" t="str">
        <f aca="false">IF(OR(Inputs!$B$27="",Inputs!$C$27=""),"",Inputs!H$33+Inputs!$B$27-Inputs!$K$33-20*LOG10($A207*1000/Inputs!$C$27)-Reference!H$10*($A207*1000-Inputs!$C$27)/1000)</f>
        <v/>
      </c>
      <c r="I207" s="17" t="str">
        <f aca="false">IF(OR(Inputs!$B$27="",Inputs!$C$27=""),"",Inputs!I$33+Inputs!$B$27-Inputs!$K$33-20*LOG10($A207*1000/Inputs!$C$27)-Reference!I$10*($A207*1000-Inputs!$C$27)/1000)</f>
        <v/>
      </c>
      <c r="J207" s="17" t="str">
        <f aca="false">IF(OR(Inputs!$B$27="",Inputs!$C$27=""),"",Inputs!J$33+Inputs!$B$27-Inputs!$K$33-20*LOG10($A207*1000/Inputs!$C$27)-Reference!J$10*($A207*1000-Inputs!$C$27)/1000)</f>
        <v/>
      </c>
      <c r="K207" s="17" t="str">
        <f aca="false">IF(COUNT(B207:J207)&lt;9,"",10*LOG10(SUMPRODUCT(10^((B207:J207+Reference!$B$7:$J$7)/10))))</f>
        <v/>
      </c>
      <c r="L207" s="17" t="str">
        <f aca="false">IF(COUNT(B207:J207)&lt;9,"",10*LOG10(SUMPRODUCT(10^((B207:J207+Reference!$B$8:$J$8)/10))))</f>
        <v/>
      </c>
      <c r="M207" s="17" t="str">
        <f aca="false">IF(ISNUMBER(K207),Inputs!$B$12-K207,"")</f>
        <v/>
      </c>
      <c r="N207" s="8" t="str">
        <f aca="false">IF(ISNUMBER(M207),IF(M207&gt;=0,"yes","no"),"")</f>
        <v/>
      </c>
    </row>
    <row r="208" customFormat="false" ht="15" hidden="false" customHeight="false" outlineLevel="0" collapsed="false">
      <c r="A208" s="20" t="n">
        <f aca="false">Inputs!$A$18</f>
        <v>3</v>
      </c>
      <c r="B208" s="17" t="str">
        <f aca="false">IF(OR(Inputs!$B$27="",Inputs!$C$27=""),"",Inputs!B$33+Inputs!$B$27-Inputs!$K$33-20*LOG10($A208*1000/Inputs!$C$27)-Reference!B$10*($A208*1000-Inputs!$C$27)/1000)</f>
        <v/>
      </c>
      <c r="C208" s="17" t="str">
        <f aca="false">IF(OR(Inputs!$B$27="",Inputs!$C$27=""),"",Inputs!C$33+Inputs!$B$27-Inputs!$K$33-20*LOG10($A208*1000/Inputs!$C$27)-Reference!C$10*($A208*1000-Inputs!$C$27)/1000)</f>
        <v/>
      </c>
      <c r="D208" s="17" t="str">
        <f aca="false">IF(OR(Inputs!$B$27="",Inputs!$C$27=""),"",Inputs!D$33+Inputs!$B$27-Inputs!$K$33-20*LOG10($A208*1000/Inputs!$C$27)-Reference!D$10*($A208*1000-Inputs!$C$27)/1000)</f>
        <v/>
      </c>
      <c r="E208" s="17" t="str">
        <f aca="false">IF(OR(Inputs!$B$27="",Inputs!$C$27=""),"",Inputs!E$33+Inputs!$B$27-Inputs!$K$33-20*LOG10($A208*1000/Inputs!$C$27)-Reference!E$10*($A208*1000-Inputs!$C$27)/1000)</f>
        <v/>
      </c>
      <c r="F208" s="17" t="str">
        <f aca="false">IF(OR(Inputs!$B$27="",Inputs!$C$27=""),"",Inputs!F$33+Inputs!$B$27-Inputs!$K$33-20*LOG10($A208*1000/Inputs!$C$27)-Reference!F$10*($A208*1000-Inputs!$C$27)/1000)</f>
        <v/>
      </c>
      <c r="G208" s="17" t="str">
        <f aca="false">IF(OR(Inputs!$B$27="",Inputs!$C$27=""),"",Inputs!G$33+Inputs!$B$27-Inputs!$K$33-20*LOG10($A208*1000/Inputs!$C$27)-Reference!G$10*($A208*1000-Inputs!$C$27)/1000)</f>
        <v/>
      </c>
      <c r="H208" s="17" t="str">
        <f aca="false">IF(OR(Inputs!$B$27="",Inputs!$C$27=""),"",Inputs!H$33+Inputs!$B$27-Inputs!$K$33-20*LOG10($A208*1000/Inputs!$C$27)-Reference!H$10*($A208*1000-Inputs!$C$27)/1000)</f>
        <v/>
      </c>
      <c r="I208" s="17" t="str">
        <f aca="false">IF(OR(Inputs!$B$27="",Inputs!$C$27=""),"",Inputs!I$33+Inputs!$B$27-Inputs!$K$33-20*LOG10($A208*1000/Inputs!$C$27)-Reference!I$10*($A208*1000-Inputs!$C$27)/1000)</f>
        <v/>
      </c>
      <c r="J208" s="17" t="str">
        <f aca="false">IF(OR(Inputs!$B$27="",Inputs!$C$27=""),"",Inputs!J$33+Inputs!$B$27-Inputs!$K$33-20*LOG10($A208*1000/Inputs!$C$27)-Reference!J$10*($A208*1000-Inputs!$C$27)/1000)</f>
        <v/>
      </c>
      <c r="K208" s="17" t="str">
        <f aca="false">IF(COUNT(B208:J208)&lt;9,"",10*LOG10(SUMPRODUCT(10^((B208:J208+Reference!$B$7:$J$7)/10))))</f>
        <v/>
      </c>
      <c r="L208" s="17" t="str">
        <f aca="false">IF(COUNT(B208:J208)&lt;9,"",10*LOG10(SUMPRODUCT(10^((B208:J208+Reference!$B$8:$J$8)/10))))</f>
        <v/>
      </c>
      <c r="M208" s="17" t="str">
        <f aca="false">IF(ISNUMBER(K208),Inputs!$B$12-K208,"")</f>
        <v/>
      </c>
      <c r="N208" s="8" t="str">
        <f aca="false">IF(ISNUMBER(M208),IF(M208&gt;=0,"yes","no"),"")</f>
        <v/>
      </c>
    </row>
    <row r="209" customFormat="false" ht="15" hidden="false" customHeight="false" outlineLevel="0" collapsed="false">
      <c r="A209" s="20" t="n">
        <f aca="false">Inputs!$A$19</f>
        <v>5</v>
      </c>
      <c r="B209" s="17" t="str">
        <f aca="false">IF(OR(Inputs!$B$27="",Inputs!$C$27=""),"",Inputs!B$33+Inputs!$B$27-Inputs!$K$33-20*LOG10($A209*1000/Inputs!$C$27)-Reference!B$10*($A209*1000-Inputs!$C$27)/1000)</f>
        <v/>
      </c>
      <c r="C209" s="17" t="str">
        <f aca="false">IF(OR(Inputs!$B$27="",Inputs!$C$27=""),"",Inputs!C$33+Inputs!$B$27-Inputs!$K$33-20*LOG10($A209*1000/Inputs!$C$27)-Reference!C$10*($A209*1000-Inputs!$C$27)/1000)</f>
        <v/>
      </c>
      <c r="D209" s="17" t="str">
        <f aca="false">IF(OR(Inputs!$B$27="",Inputs!$C$27=""),"",Inputs!D$33+Inputs!$B$27-Inputs!$K$33-20*LOG10($A209*1000/Inputs!$C$27)-Reference!D$10*($A209*1000-Inputs!$C$27)/1000)</f>
        <v/>
      </c>
      <c r="E209" s="17" t="str">
        <f aca="false">IF(OR(Inputs!$B$27="",Inputs!$C$27=""),"",Inputs!E$33+Inputs!$B$27-Inputs!$K$33-20*LOG10($A209*1000/Inputs!$C$27)-Reference!E$10*($A209*1000-Inputs!$C$27)/1000)</f>
        <v/>
      </c>
      <c r="F209" s="17" t="str">
        <f aca="false">IF(OR(Inputs!$B$27="",Inputs!$C$27=""),"",Inputs!F$33+Inputs!$B$27-Inputs!$K$33-20*LOG10($A209*1000/Inputs!$C$27)-Reference!F$10*($A209*1000-Inputs!$C$27)/1000)</f>
        <v/>
      </c>
      <c r="G209" s="17" t="str">
        <f aca="false">IF(OR(Inputs!$B$27="",Inputs!$C$27=""),"",Inputs!G$33+Inputs!$B$27-Inputs!$K$33-20*LOG10($A209*1000/Inputs!$C$27)-Reference!G$10*($A209*1000-Inputs!$C$27)/1000)</f>
        <v/>
      </c>
      <c r="H209" s="17" t="str">
        <f aca="false">IF(OR(Inputs!$B$27="",Inputs!$C$27=""),"",Inputs!H$33+Inputs!$B$27-Inputs!$K$33-20*LOG10($A209*1000/Inputs!$C$27)-Reference!H$10*($A209*1000-Inputs!$C$27)/1000)</f>
        <v/>
      </c>
      <c r="I209" s="17" t="str">
        <f aca="false">IF(OR(Inputs!$B$27="",Inputs!$C$27=""),"",Inputs!I$33+Inputs!$B$27-Inputs!$K$33-20*LOG10($A209*1000/Inputs!$C$27)-Reference!I$10*($A209*1000-Inputs!$C$27)/1000)</f>
        <v/>
      </c>
      <c r="J209" s="17" t="str">
        <f aca="false">IF(OR(Inputs!$B$27="",Inputs!$C$27=""),"",Inputs!J$33+Inputs!$B$27-Inputs!$K$33-20*LOG10($A209*1000/Inputs!$C$27)-Reference!J$10*($A209*1000-Inputs!$C$27)/1000)</f>
        <v/>
      </c>
      <c r="K209" s="17" t="str">
        <f aca="false">IF(COUNT(B209:J209)&lt;9,"",10*LOG10(SUMPRODUCT(10^((B209:J209+Reference!$B$7:$J$7)/10))))</f>
        <v/>
      </c>
      <c r="L209" s="17" t="str">
        <f aca="false">IF(COUNT(B209:J209)&lt;9,"",10*LOG10(SUMPRODUCT(10^((B209:J209+Reference!$B$8:$J$8)/10))))</f>
        <v/>
      </c>
      <c r="M209" s="17" t="str">
        <f aca="false">IF(ISNUMBER(K209),Inputs!$B$12-K209,"")</f>
        <v/>
      </c>
      <c r="N209" s="8" t="str">
        <f aca="false">IF(ISNUMBER(M209),IF(M209&gt;=0,"yes","no"),"")</f>
        <v/>
      </c>
    </row>
    <row r="210" customFormat="false" ht="15" hidden="false" customHeight="false" outlineLevel="0" collapsed="false">
      <c r="A210" s="20" t="n">
        <f aca="false">Inputs!$A$20</f>
        <v>10</v>
      </c>
      <c r="B210" s="17" t="str">
        <f aca="false">IF(OR(Inputs!$B$27="",Inputs!$C$27=""),"",Inputs!B$33+Inputs!$B$27-Inputs!$K$33-20*LOG10($A210*1000/Inputs!$C$27)-Reference!B$10*($A210*1000-Inputs!$C$27)/1000)</f>
        <v/>
      </c>
      <c r="C210" s="17" t="str">
        <f aca="false">IF(OR(Inputs!$B$27="",Inputs!$C$27=""),"",Inputs!C$33+Inputs!$B$27-Inputs!$K$33-20*LOG10($A210*1000/Inputs!$C$27)-Reference!C$10*($A210*1000-Inputs!$C$27)/1000)</f>
        <v/>
      </c>
      <c r="D210" s="17" t="str">
        <f aca="false">IF(OR(Inputs!$B$27="",Inputs!$C$27=""),"",Inputs!D$33+Inputs!$B$27-Inputs!$K$33-20*LOG10($A210*1000/Inputs!$C$27)-Reference!D$10*($A210*1000-Inputs!$C$27)/1000)</f>
        <v/>
      </c>
      <c r="E210" s="17" t="str">
        <f aca="false">IF(OR(Inputs!$B$27="",Inputs!$C$27=""),"",Inputs!E$33+Inputs!$B$27-Inputs!$K$33-20*LOG10($A210*1000/Inputs!$C$27)-Reference!E$10*($A210*1000-Inputs!$C$27)/1000)</f>
        <v/>
      </c>
      <c r="F210" s="17" t="str">
        <f aca="false">IF(OR(Inputs!$B$27="",Inputs!$C$27=""),"",Inputs!F$33+Inputs!$B$27-Inputs!$K$33-20*LOG10($A210*1000/Inputs!$C$27)-Reference!F$10*($A210*1000-Inputs!$C$27)/1000)</f>
        <v/>
      </c>
      <c r="G210" s="17" t="str">
        <f aca="false">IF(OR(Inputs!$B$27="",Inputs!$C$27=""),"",Inputs!G$33+Inputs!$B$27-Inputs!$K$33-20*LOG10($A210*1000/Inputs!$C$27)-Reference!G$10*($A210*1000-Inputs!$C$27)/1000)</f>
        <v/>
      </c>
      <c r="H210" s="17" t="str">
        <f aca="false">IF(OR(Inputs!$B$27="",Inputs!$C$27=""),"",Inputs!H$33+Inputs!$B$27-Inputs!$K$33-20*LOG10($A210*1000/Inputs!$C$27)-Reference!H$10*($A210*1000-Inputs!$C$27)/1000)</f>
        <v/>
      </c>
      <c r="I210" s="17" t="str">
        <f aca="false">IF(OR(Inputs!$B$27="",Inputs!$C$27=""),"",Inputs!I$33+Inputs!$B$27-Inputs!$K$33-20*LOG10($A210*1000/Inputs!$C$27)-Reference!I$10*($A210*1000-Inputs!$C$27)/1000)</f>
        <v/>
      </c>
      <c r="J210" s="17" t="str">
        <f aca="false">IF(OR(Inputs!$B$27="",Inputs!$C$27=""),"",Inputs!J$33+Inputs!$B$27-Inputs!$K$33-20*LOG10($A210*1000/Inputs!$C$27)-Reference!J$10*($A210*1000-Inputs!$C$27)/1000)</f>
        <v/>
      </c>
      <c r="K210" s="17" t="str">
        <f aca="false">IF(COUNT(B210:J210)&lt;9,"",10*LOG10(SUMPRODUCT(10^((B210:J210+Reference!$B$7:$J$7)/10))))</f>
        <v/>
      </c>
      <c r="L210" s="17" t="str">
        <f aca="false">IF(COUNT(B210:J210)&lt;9,"",10*LOG10(SUMPRODUCT(10^((B210:J210+Reference!$B$8:$J$8)/10))))</f>
        <v/>
      </c>
      <c r="M210" s="17" t="str">
        <f aca="false">IF(ISNUMBER(K210),Inputs!$B$12-K210,"")</f>
        <v/>
      </c>
      <c r="N210" s="8" t="str">
        <f aca="false">IF(ISNUMBER(M210),IF(M210&gt;=0,"yes","no"),"")</f>
        <v/>
      </c>
    </row>
    <row r="211" customFormat="false" ht="15" hidden="false" customHeight="false" outlineLevel="0" collapsed="false">
      <c r="A211" s="7" t="s">
        <v>124</v>
      </c>
    </row>
    <row r="212" customFormat="false" ht="23.85" hidden="false" customHeight="false" outlineLevel="0" collapsed="false">
      <c r="A212" s="13" t="s">
        <v>114</v>
      </c>
      <c r="B212" s="13" t="s">
        <v>64</v>
      </c>
      <c r="C212" s="13" t="s">
        <v>65</v>
      </c>
      <c r="D212" s="13" t="s">
        <v>66</v>
      </c>
      <c r="E212" s="13" t="s">
        <v>67</v>
      </c>
      <c r="F212" s="13" t="s">
        <v>68</v>
      </c>
      <c r="G212" s="13" t="s">
        <v>69</v>
      </c>
      <c r="H212" s="13" t="s">
        <v>70</v>
      </c>
      <c r="I212" s="13" t="s">
        <v>71</v>
      </c>
      <c r="J212" s="13" t="s">
        <v>72</v>
      </c>
      <c r="K212" s="13" t="s">
        <v>125</v>
      </c>
      <c r="L212" s="13" t="s">
        <v>88</v>
      </c>
    </row>
    <row r="213" customFormat="false" ht="15" hidden="false" customHeight="false" outlineLevel="0" collapsed="false">
      <c r="A213" s="17" t="n">
        <f aca="false">A205</f>
        <v>0.5</v>
      </c>
      <c r="B213" s="17" t="str">
        <f aca="false">IF(ISNUMBER(B205),Reference!B$9-B205,"")</f>
        <v/>
      </c>
      <c r="C213" s="17" t="str">
        <f aca="false">IF(ISNUMBER(C205),Reference!C$9-C205,"")</f>
        <v/>
      </c>
      <c r="D213" s="17" t="str">
        <f aca="false">IF(ISNUMBER(D205),Reference!D$9-D205,"")</f>
        <v/>
      </c>
      <c r="E213" s="17" t="str">
        <f aca="false">IF(ISNUMBER(E205),Reference!E$9-E205,"")</f>
        <v/>
      </c>
      <c r="F213" s="17" t="str">
        <f aca="false">IF(ISNUMBER(F205),Reference!F$9-F205,"")</f>
        <v/>
      </c>
      <c r="G213" s="17" t="str">
        <f aca="false">IF(ISNUMBER(G205),Reference!G$9-G205,"")</f>
        <v/>
      </c>
      <c r="H213" s="17" t="str">
        <f aca="false">IF(ISNUMBER(H205),Reference!H$9-H205,"")</f>
        <v/>
      </c>
      <c r="I213" s="17" t="str">
        <f aca="false">IF(ISNUMBER(I205),Reference!I$9-I205,"")</f>
        <v/>
      </c>
      <c r="J213" s="17" t="str">
        <f aca="false">IF(ISNUMBER(J205),Reference!J$9-J205,"")</f>
        <v/>
      </c>
      <c r="K213" s="17" t="str">
        <f aca="false">IF(COUNT(B213:J213)=0,"",MIN(B213:J213))</f>
        <v/>
      </c>
      <c r="L213" s="8" t="str">
        <f aca="false">IF(COUNT(B213:J213)&lt;9,"",IF(K213&gt;=0,"yes","no"))</f>
        <v/>
      </c>
    </row>
    <row r="214" customFormat="false" ht="15" hidden="false" customHeight="false" outlineLevel="0" collapsed="false">
      <c r="A214" s="17" t="n">
        <f aca="false">A206</f>
        <v>1</v>
      </c>
      <c r="B214" s="17" t="str">
        <f aca="false">IF(ISNUMBER(B206),Reference!B$9-B206,"")</f>
        <v/>
      </c>
      <c r="C214" s="17" t="str">
        <f aca="false">IF(ISNUMBER(C206),Reference!C$9-C206,"")</f>
        <v/>
      </c>
      <c r="D214" s="17" t="str">
        <f aca="false">IF(ISNUMBER(D206),Reference!D$9-D206,"")</f>
        <v/>
      </c>
      <c r="E214" s="17" t="str">
        <f aca="false">IF(ISNUMBER(E206),Reference!E$9-E206,"")</f>
        <v/>
      </c>
      <c r="F214" s="17" t="str">
        <f aca="false">IF(ISNUMBER(F206),Reference!F$9-F206,"")</f>
        <v/>
      </c>
      <c r="G214" s="17" t="str">
        <f aca="false">IF(ISNUMBER(G206),Reference!G$9-G206,"")</f>
        <v/>
      </c>
      <c r="H214" s="17" t="str">
        <f aca="false">IF(ISNUMBER(H206),Reference!H$9-H206,"")</f>
        <v/>
      </c>
      <c r="I214" s="17" t="str">
        <f aca="false">IF(ISNUMBER(I206),Reference!I$9-I206,"")</f>
        <v/>
      </c>
      <c r="J214" s="17" t="str">
        <f aca="false">IF(ISNUMBER(J206),Reference!J$9-J206,"")</f>
        <v/>
      </c>
      <c r="K214" s="17" t="str">
        <f aca="false">IF(COUNT(B214:J214)=0,"",MIN(B214:J214))</f>
        <v/>
      </c>
      <c r="L214" s="8" t="str">
        <f aca="false">IF(COUNT(B214:J214)&lt;9,"",IF(K214&gt;=0,"yes","no"))</f>
        <v/>
      </c>
    </row>
    <row r="215" customFormat="false" ht="15" hidden="false" customHeight="false" outlineLevel="0" collapsed="false">
      <c r="A215" s="17" t="n">
        <f aca="false">A207</f>
        <v>2</v>
      </c>
      <c r="B215" s="17" t="str">
        <f aca="false">IF(ISNUMBER(B207),Reference!B$9-B207,"")</f>
        <v/>
      </c>
      <c r="C215" s="17" t="str">
        <f aca="false">IF(ISNUMBER(C207),Reference!C$9-C207,"")</f>
        <v/>
      </c>
      <c r="D215" s="17" t="str">
        <f aca="false">IF(ISNUMBER(D207),Reference!D$9-D207,"")</f>
        <v/>
      </c>
      <c r="E215" s="17" t="str">
        <f aca="false">IF(ISNUMBER(E207),Reference!E$9-E207,"")</f>
        <v/>
      </c>
      <c r="F215" s="17" t="str">
        <f aca="false">IF(ISNUMBER(F207),Reference!F$9-F207,"")</f>
        <v/>
      </c>
      <c r="G215" s="17" t="str">
        <f aca="false">IF(ISNUMBER(G207),Reference!G$9-G207,"")</f>
        <v/>
      </c>
      <c r="H215" s="17" t="str">
        <f aca="false">IF(ISNUMBER(H207),Reference!H$9-H207,"")</f>
        <v/>
      </c>
      <c r="I215" s="17" t="str">
        <f aca="false">IF(ISNUMBER(I207),Reference!I$9-I207,"")</f>
        <v/>
      </c>
      <c r="J215" s="17" t="str">
        <f aca="false">IF(ISNUMBER(J207),Reference!J$9-J207,"")</f>
        <v/>
      </c>
      <c r="K215" s="17" t="str">
        <f aca="false">IF(COUNT(B215:J215)=0,"",MIN(B215:J215))</f>
        <v/>
      </c>
      <c r="L215" s="8" t="str">
        <f aca="false">IF(COUNT(B215:J215)&lt;9,"",IF(K215&gt;=0,"yes","no"))</f>
        <v/>
      </c>
    </row>
    <row r="216" customFormat="false" ht="15" hidden="false" customHeight="false" outlineLevel="0" collapsed="false">
      <c r="A216" s="17" t="n">
        <f aca="false">A208</f>
        <v>3</v>
      </c>
      <c r="B216" s="17" t="str">
        <f aca="false">IF(ISNUMBER(B208),Reference!B$9-B208,"")</f>
        <v/>
      </c>
      <c r="C216" s="17" t="str">
        <f aca="false">IF(ISNUMBER(C208),Reference!C$9-C208,"")</f>
        <v/>
      </c>
      <c r="D216" s="17" t="str">
        <f aca="false">IF(ISNUMBER(D208),Reference!D$9-D208,"")</f>
        <v/>
      </c>
      <c r="E216" s="17" t="str">
        <f aca="false">IF(ISNUMBER(E208),Reference!E$9-E208,"")</f>
        <v/>
      </c>
      <c r="F216" s="17" t="str">
        <f aca="false">IF(ISNUMBER(F208),Reference!F$9-F208,"")</f>
        <v/>
      </c>
      <c r="G216" s="17" t="str">
        <f aca="false">IF(ISNUMBER(G208),Reference!G$9-G208,"")</f>
        <v/>
      </c>
      <c r="H216" s="17" t="str">
        <f aca="false">IF(ISNUMBER(H208),Reference!H$9-H208,"")</f>
        <v/>
      </c>
      <c r="I216" s="17" t="str">
        <f aca="false">IF(ISNUMBER(I208),Reference!I$9-I208,"")</f>
        <v/>
      </c>
      <c r="J216" s="17" t="str">
        <f aca="false">IF(ISNUMBER(J208),Reference!J$9-J208,"")</f>
        <v/>
      </c>
      <c r="K216" s="17" t="str">
        <f aca="false">IF(COUNT(B216:J216)=0,"",MIN(B216:J216))</f>
        <v/>
      </c>
      <c r="L216" s="8" t="str">
        <f aca="false">IF(COUNT(B216:J216)&lt;9,"",IF(K216&gt;=0,"yes","no"))</f>
        <v/>
      </c>
    </row>
    <row r="217" customFormat="false" ht="15" hidden="false" customHeight="false" outlineLevel="0" collapsed="false">
      <c r="A217" s="17" t="n">
        <f aca="false">A209</f>
        <v>5</v>
      </c>
      <c r="B217" s="17" t="str">
        <f aca="false">IF(ISNUMBER(B209),Reference!B$9-B209,"")</f>
        <v/>
      </c>
      <c r="C217" s="17" t="str">
        <f aca="false">IF(ISNUMBER(C209),Reference!C$9-C209,"")</f>
        <v/>
      </c>
      <c r="D217" s="17" t="str">
        <f aca="false">IF(ISNUMBER(D209),Reference!D$9-D209,"")</f>
        <v/>
      </c>
      <c r="E217" s="17" t="str">
        <f aca="false">IF(ISNUMBER(E209),Reference!E$9-E209,"")</f>
        <v/>
      </c>
      <c r="F217" s="17" t="str">
        <f aca="false">IF(ISNUMBER(F209),Reference!F$9-F209,"")</f>
        <v/>
      </c>
      <c r="G217" s="17" t="str">
        <f aca="false">IF(ISNUMBER(G209),Reference!G$9-G209,"")</f>
        <v/>
      </c>
      <c r="H217" s="17" t="str">
        <f aca="false">IF(ISNUMBER(H209),Reference!H$9-H209,"")</f>
        <v/>
      </c>
      <c r="I217" s="17" t="str">
        <f aca="false">IF(ISNUMBER(I209),Reference!I$9-I209,"")</f>
        <v/>
      </c>
      <c r="J217" s="17" t="str">
        <f aca="false">IF(ISNUMBER(J209),Reference!J$9-J209,"")</f>
        <v/>
      </c>
      <c r="K217" s="17" t="str">
        <f aca="false">IF(COUNT(B217:J217)=0,"",MIN(B217:J217))</f>
        <v/>
      </c>
      <c r="L217" s="8" t="str">
        <f aca="false">IF(COUNT(B217:J217)&lt;9,"",IF(K217&gt;=0,"yes","no"))</f>
        <v/>
      </c>
    </row>
    <row r="218" customFormat="false" ht="15" hidden="false" customHeight="false" outlineLevel="0" collapsed="false">
      <c r="A218" s="17" t="n">
        <f aca="false">A210</f>
        <v>10</v>
      </c>
      <c r="B218" s="17" t="str">
        <f aca="false">IF(ISNUMBER(B210),Reference!B$9-B210,"")</f>
        <v/>
      </c>
      <c r="C218" s="17" t="str">
        <f aca="false">IF(ISNUMBER(C210),Reference!C$9-C210,"")</f>
        <v/>
      </c>
      <c r="D218" s="17" t="str">
        <f aca="false">IF(ISNUMBER(D210),Reference!D$9-D210,"")</f>
        <v/>
      </c>
      <c r="E218" s="17" t="str">
        <f aca="false">IF(ISNUMBER(E210),Reference!E$9-E210,"")</f>
        <v/>
      </c>
      <c r="F218" s="17" t="str">
        <f aca="false">IF(ISNUMBER(F210),Reference!F$9-F210,"")</f>
        <v/>
      </c>
      <c r="G218" s="17" t="str">
        <f aca="false">IF(ISNUMBER(G210),Reference!G$9-G210,"")</f>
        <v/>
      </c>
      <c r="H218" s="17" t="str">
        <f aca="false">IF(ISNUMBER(H210),Reference!H$9-H210,"")</f>
        <v/>
      </c>
      <c r="I218" s="17" t="str">
        <f aca="false">IF(ISNUMBER(I210),Reference!I$9-I210,"")</f>
        <v/>
      </c>
      <c r="J218" s="17" t="str">
        <f aca="false">IF(ISNUMBER(J210),Reference!J$9-J210,"")</f>
        <v/>
      </c>
      <c r="K218" s="17" t="str">
        <f aca="false">IF(COUNT(B218:J218)=0,"",MIN(B218:J218))</f>
        <v/>
      </c>
      <c r="L218" s="8" t="str">
        <f aca="false">IF(COUNT(B218:J218)&lt;9,"",IF(K218&gt;=0,"yes","no"))</f>
        <v/>
      </c>
    </row>
  </sheetData>
  <conditionalFormatting sqref="M7:N12">
    <cfRule type="expression" priority="2" aboveAverage="0" equalAverage="0" bottom="0" percent="0" rank="0" text="" dxfId="0">
      <formula>AND(ISNUMBER(M7),M7&gt;=0)</formula>
    </cfRule>
    <cfRule type="expression" priority="3" aboveAverage="0" equalAverage="0" bottom="0" percent="0" rank="0" text="" dxfId="1">
      <formula>AND(ISNUMBER(M7),M7&lt;0)</formula>
    </cfRule>
    <cfRule type="expression" priority="4" aboveAverage="0" equalAverage="0" bottom="0" percent="0" rank="0" text="" dxfId="0">
      <formula>M7="yes"</formula>
    </cfRule>
    <cfRule type="expression" priority="5" aboveAverage="0" equalAverage="0" bottom="0" percent="0" rank="0" text="" dxfId="1">
      <formula>M7="no"</formula>
    </cfRule>
  </conditionalFormatting>
  <conditionalFormatting sqref="B15:L20">
    <cfRule type="expression" priority="6" aboveAverage="0" equalAverage="0" bottom="0" percent="0" rank="0" text="" dxfId="0">
      <formula>AND(ISNUMBER(B15),B15&gt;=0)</formula>
    </cfRule>
    <cfRule type="expression" priority="7" aboveAverage="0" equalAverage="0" bottom="0" percent="0" rank="0" text="" dxfId="1">
      <formula>AND(ISNUMBER(B15),B15&lt;0)</formula>
    </cfRule>
    <cfRule type="expression" priority="8" aboveAverage="0" equalAverage="0" bottom="0" percent="0" rank="0" text="" dxfId="0">
      <formula>B15="yes"</formula>
    </cfRule>
    <cfRule type="expression" priority="9" aboveAverage="0" equalAverage="0" bottom="0" percent="0" rank="0" text="" dxfId="1">
      <formula>B15="no"</formula>
    </cfRule>
  </conditionalFormatting>
  <conditionalFormatting sqref="M25:N30">
    <cfRule type="expression" priority="10" aboveAverage="0" equalAverage="0" bottom="0" percent="0" rank="0" text="" dxfId="0">
      <formula>AND(ISNUMBER(M25),M25&gt;=0)</formula>
    </cfRule>
    <cfRule type="expression" priority="11" aboveAverage="0" equalAverage="0" bottom="0" percent="0" rank="0" text="" dxfId="1">
      <formula>AND(ISNUMBER(M25),M25&lt;0)</formula>
    </cfRule>
    <cfRule type="expression" priority="12" aboveAverage="0" equalAverage="0" bottom="0" percent="0" rank="0" text="" dxfId="0">
      <formula>M25="yes"</formula>
    </cfRule>
    <cfRule type="expression" priority="13" aboveAverage="0" equalAverage="0" bottom="0" percent="0" rank="0" text="" dxfId="1">
      <formula>M25="no"</formula>
    </cfRule>
  </conditionalFormatting>
  <conditionalFormatting sqref="B33:L38">
    <cfRule type="expression" priority="14" aboveAverage="0" equalAverage="0" bottom="0" percent="0" rank="0" text="" dxfId="0">
      <formula>AND(ISNUMBER(B33),B33&gt;=0)</formula>
    </cfRule>
    <cfRule type="expression" priority="15" aboveAverage="0" equalAverage="0" bottom="0" percent="0" rank="0" text="" dxfId="1">
      <formula>AND(ISNUMBER(B33),B33&lt;0)</formula>
    </cfRule>
    <cfRule type="expression" priority="16" aboveAverage="0" equalAverage="0" bottom="0" percent="0" rank="0" text="" dxfId="0">
      <formula>B33="yes"</formula>
    </cfRule>
    <cfRule type="expression" priority="17" aboveAverage="0" equalAverage="0" bottom="0" percent="0" rank="0" text="" dxfId="1">
      <formula>B33="no"</formula>
    </cfRule>
  </conditionalFormatting>
  <conditionalFormatting sqref="M43:N48">
    <cfRule type="expression" priority="18" aboveAverage="0" equalAverage="0" bottom="0" percent="0" rank="0" text="" dxfId="0">
      <formula>AND(ISNUMBER(M43),M43&gt;=0)</formula>
    </cfRule>
    <cfRule type="expression" priority="19" aboveAverage="0" equalAverage="0" bottom="0" percent="0" rank="0" text="" dxfId="1">
      <formula>AND(ISNUMBER(M43),M43&lt;0)</formula>
    </cfRule>
    <cfRule type="expression" priority="20" aboveAverage="0" equalAverage="0" bottom="0" percent="0" rank="0" text="" dxfId="0">
      <formula>M43="yes"</formula>
    </cfRule>
    <cfRule type="expression" priority="21" aboveAverage="0" equalAverage="0" bottom="0" percent="0" rank="0" text="" dxfId="1">
      <formula>M43="no"</formula>
    </cfRule>
  </conditionalFormatting>
  <conditionalFormatting sqref="B51:L56">
    <cfRule type="expression" priority="22" aboveAverage="0" equalAverage="0" bottom="0" percent="0" rank="0" text="" dxfId="0">
      <formula>AND(ISNUMBER(B51),B51&gt;=0)</formula>
    </cfRule>
    <cfRule type="expression" priority="23" aboveAverage="0" equalAverage="0" bottom="0" percent="0" rank="0" text="" dxfId="1">
      <formula>AND(ISNUMBER(B51),B51&lt;0)</formula>
    </cfRule>
    <cfRule type="expression" priority="24" aboveAverage="0" equalAverage="0" bottom="0" percent="0" rank="0" text="" dxfId="0">
      <formula>B51="yes"</formula>
    </cfRule>
    <cfRule type="expression" priority="25" aboveAverage="0" equalAverage="0" bottom="0" percent="0" rank="0" text="" dxfId="1">
      <formula>B51="no"</formula>
    </cfRule>
  </conditionalFormatting>
  <conditionalFormatting sqref="M61:N66">
    <cfRule type="expression" priority="26" aboveAverage="0" equalAverage="0" bottom="0" percent="0" rank="0" text="" dxfId="0">
      <formula>AND(ISNUMBER(M61),M61&gt;=0)</formula>
    </cfRule>
    <cfRule type="expression" priority="27" aboveAverage="0" equalAverage="0" bottom="0" percent="0" rank="0" text="" dxfId="1">
      <formula>AND(ISNUMBER(M61),M61&lt;0)</formula>
    </cfRule>
    <cfRule type="expression" priority="28" aboveAverage="0" equalAverage="0" bottom="0" percent="0" rank="0" text="" dxfId="0">
      <formula>M61="yes"</formula>
    </cfRule>
    <cfRule type="expression" priority="29" aboveAverage="0" equalAverage="0" bottom="0" percent="0" rank="0" text="" dxfId="1">
      <formula>M61="no"</formula>
    </cfRule>
  </conditionalFormatting>
  <conditionalFormatting sqref="B69:L74">
    <cfRule type="expression" priority="30" aboveAverage="0" equalAverage="0" bottom="0" percent="0" rank="0" text="" dxfId="0">
      <formula>AND(ISNUMBER(B69),B69&gt;=0)</formula>
    </cfRule>
    <cfRule type="expression" priority="31" aboveAverage="0" equalAverage="0" bottom="0" percent="0" rank="0" text="" dxfId="1">
      <formula>AND(ISNUMBER(B69),B69&lt;0)</formula>
    </cfRule>
    <cfRule type="expression" priority="32" aboveAverage="0" equalAverage="0" bottom="0" percent="0" rank="0" text="" dxfId="0">
      <formula>B69="yes"</formula>
    </cfRule>
    <cfRule type="expression" priority="33" aboveAverage="0" equalAverage="0" bottom="0" percent="0" rank="0" text="" dxfId="1">
      <formula>B69="no"</formula>
    </cfRule>
  </conditionalFormatting>
  <conditionalFormatting sqref="M79:N84">
    <cfRule type="expression" priority="34" aboveAverage="0" equalAverage="0" bottom="0" percent="0" rank="0" text="" dxfId="0">
      <formula>AND(ISNUMBER(M79),M79&gt;=0)</formula>
    </cfRule>
    <cfRule type="expression" priority="35" aboveAverage="0" equalAverage="0" bottom="0" percent="0" rank="0" text="" dxfId="1">
      <formula>AND(ISNUMBER(M79),M79&lt;0)</formula>
    </cfRule>
    <cfRule type="expression" priority="36" aboveAverage="0" equalAverage="0" bottom="0" percent="0" rank="0" text="" dxfId="0">
      <formula>M79="yes"</formula>
    </cfRule>
    <cfRule type="expression" priority="37" aboveAverage="0" equalAverage="0" bottom="0" percent="0" rank="0" text="" dxfId="1">
      <formula>M79="no"</formula>
    </cfRule>
  </conditionalFormatting>
  <conditionalFormatting sqref="B87:L92">
    <cfRule type="expression" priority="38" aboveAverage="0" equalAverage="0" bottom="0" percent="0" rank="0" text="" dxfId="0">
      <formula>AND(ISNUMBER(B87),B87&gt;=0)</formula>
    </cfRule>
    <cfRule type="expression" priority="39" aboveAverage="0" equalAverage="0" bottom="0" percent="0" rank="0" text="" dxfId="1">
      <formula>AND(ISNUMBER(B87),B87&lt;0)</formula>
    </cfRule>
    <cfRule type="expression" priority="40" aboveAverage="0" equalAverage="0" bottom="0" percent="0" rank="0" text="" dxfId="0">
      <formula>B87="yes"</formula>
    </cfRule>
    <cfRule type="expression" priority="41" aboveAverage="0" equalAverage="0" bottom="0" percent="0" rank="0" text="" dxfId="1">
      <formula>B87="no"</formula>
    </cfRule>
  </conditionalFormatting>
  <conditionalFormatting sqref="M97:N102">
    <cfRule type="expression" priority="42" aboveAverage="0" equalAverage="0" bottom="0" percent="0" rank="0" text="" dxfId="0">
      <formula>AND(ISNUMBER(M97),M97&gt;=0)</formula>
    </cfRule>
    <cfRule type="expression" priority="43" aboveAverage="0" equalAverage="0" bottom="0" percent="0" rank="0" text="" dxfId="1">
      <formula>AND(ISNUMBER(M97),M97&lt;0)</formula>
    </cfRule>
    <cfRule type="expression" priority="44" aboveAverage="0" equalAverage="0" bottom="0" percent="0" rank="0" text="" dxfId="0">
      <formula>M97="yes"</formula>
    </cfRule>
    <cfRule type="expression" priority="45" aboveAverage="0" equalAverage="0" bottom="0" percent="0" rank="0" text="" dxfId="1">
      <formula>M97="no"</formula>
    </cfRule>
  </conditionalFormatting>
  <conditionalFormatting sqref="B105:L110">
    <cfRule type="expression" priority="46" aboveAverage="0" equalAverage="0" bottom="0" percent="0" rank="0" text="" dxfId="0">
      <formula>AND(ISNUMBER(B105),B105&gt;=0)</formula>
    </cfRule>
    <cfRule type="expression" priority="47" aboveAverage="0" equalAverage="0" bottom="0" percent="0" rank="0" text="" dxfId="1">
      <formula>AND(ISNUMBER(B105),B105&lt;0)</formula>
    </cfRule>
    <cfRule type="expression" priority="48" aboveAverage="0" equalAverage="0" bottom="0" percent="0" rank="0" text="" dxfId="0">
      <formula>B105="yes"</formula>
    </cfRule>
    <cfRule type="expression" priority="49" aboveAverage="0" equalAverage="0" bottom="0" percent="0" rank="0" text="" dxfId="1">
      <formula>B105="no"</formula>
    </cfRule>
  </conditionalFormatting>
  <conditionalFormatting sqref="M115:N120">
    <cfRule type="expression" priority="50" aboveAverage="0" equalAverage="0" bottom="0" percent="0" rank="0" text="" dxfId="0">
      <formula>AND(ISNUMBER(M115),M115&gt;=0)</formula>
    </cfRule>
    <cfRule type="expression" priority="51" aboveAverage="0" equalAverage="0" bottom="0" percent="0" rank="0" text="" dxfId="1">
      <formula>AND(ISNUMBER(M115),M115&lt;0)</formula>
    </cfRule>
    <cfRule type="expression" priority="52" aboveAverage="0" equalAverage="0" bottom="0" percent="0" rank="0" text="" dxfId="0">
      <formula>M115="yes"</formula>
    </cfRule>
    <cfRule type="expression" priority="53" aboveAverage="0" equalAverage="0" bottom="0" percent="0" rank="0" text="" dxfId="1">
      <formula>M115="no"</formula>
    </cfRule>
  </conditionalFormatting>
  <conditionalFormatting sqref="B123:L128">
    <cfRule type="expression" priority="54" aboveAverage="0" equalAverage="0" bottom="0" percent="0" rank="0" text="" dxfId="0">
      <formula>AND(ISNUMBER(B123),B123&gt;=0)</formula>
    </cfRule>
    <cfRule type="expression" priority="55" aboveAverage="0" equalAverage="0" bottom="0" percent="0" rank="0" text="" dxfId="1">
      <formula>AND(ISNUMBER(B123),B123&lt;0)</formula>
    </cfRule>
    <cfRule type="expression" priority="56" aboveAverage="0" equalAverage="0" bottom="0" percent="0" rank="0" text="" dxfId="0">
      <formula>B123="yes"</formula>
    </cfRule>
    <cfRule type="expression" priority="57" aboveAverage="0" equalAverage="0" bottom="0" percent="0" rank="0" text="" dxfId="1">
      <formula>B123="no"</formula>
    </cfRule>
  </conditionalFormatting>
  <conditionalFormatting sqref="M133:N138">
    <cfRule type="expression" priority="58" aboveAverage="0" equalAverage="0" bottom="0" percent="0" rank="0" text="" dxfId="0">
      <formula>AND(ISNUMBER(M133),M133&gt;=0)</formula>
    </cfRule>
    <cfRule type="expression" priority="59" aboveAverage="0" equalAverage="0" bottom="0" percent="0" rank="0" text="" dxfId="1">
      <formula>AND(ISNUMBER(M133),M133&lt;0)</formula>
    </cfRule>
    <cfRule type="expression" priority="60" aboveAverage="0" equalAverage="0" bottom="0" percent="0" rank="0" text="" dxfId="0">
      <formula>M133="yes"</formula>
    </cfRule>
    <cfRule type="expression" priority="61" aboveAverage="0" equalAverage="0" bottom="0" percent="0" rank="0" text="" dxfId="1">
      <formula>M133="no"</formula>
    </cfRule>
  </conditionalFormatting>
  <conditionalFormatting sqref="B141:L146">
    <cfRule type="expression" priority="62" aboveAverage="0" equalAverage="0" bottom="0" percent="0" rank="0" text="" dxfId="0">
      <formula>AND(ISNUMBER(B141),B141&gt;=0)</formula>
    </cfRule>
    <cfRule type="expression" priority="63" aboveAverage="0" equalAverage="0" bottom="0" percent="0" rank="0" text="" dxfId="1">
      <formula>AND(ISNUMBER(B141),B141&lt;0)</formula>
    </cfRule>
    <cfRule type="expression" priority="64" aboveAverage="0" equalAverage="0" bottom="0" percent="0" rank="0" text="" dxfId="0">
      <formula>B141="yes"</formula>
    </cfRule>
    <cfRule type="expression" priority="65" aboveAverage="0" equalAverage="0" bottom="0" percent="0" rank="0" text="" dxfId="1">
      <formula>B141="no"</formula>
    </cfRule>
  </conditionalFormatting>
  <conditionalFormatting sqref="M151:N156">
    <cfRule type="expression" priority="66" aboveAverage="0" equalAverage="0" bottom="0" percent="0" rank="0" text="" dxfId="0">
      <formula>AND(ISNUMBER(M151),M151&gt;=0)</formula>
    </cfRule>
    <cfRule type="expression" priority="67" aboveAverage="0" equalAverage="0" bottom="0" percent="0" rank="0" text="" dxfId="1">
      <formula>AND(ISNUMBER(M151),M151&lt;0)</formula>
    </cfRule>
    <cfRule type="expression" priority="68" aboveAverage="0" equalAverage="0" bottom="0" percent="0" rank="0" text="" dxfId="0">
      <formula>M151="yes"</formula>
    </cfRule>
    <cfRule type="expression" priority="69" aboveAverage="0" equalAverage="0" bottom="0" percent="0" rank="0" text="" dxfId="1">
      <formula>M151="no"</formula>
    </cfRule>
  </conditionalFormatting>
  <conditionalFormatting sqref="B159:L164">
    <cfRule type="expression" priority="70" aboveAverage="0" equalAverage="0" bottom="0" percent="0" rank="0" text="" dxfId="0">
      <formula>AND(ISNUMBER(B159),B159&gt;=0)</formula>
    </cfRule>
    <cfRule type="expression" priority="71" aboveAverage="0" equalAverage="0" bottom="0" percent="0" rank="0" text="" dxfId="1">
      <formula>AND(ISNUMBER(B159),B159&lt;0)</formula>
    </cfRule>
    <cfRule type="expression" priority="72" aboveAverage="0" equalAverage="0" bottom="0" percent="0" rank="0" text="" dxfId="0">
      <formula>B159="yes"</formula>
    </cfRule>
    <cfRule type="expression" priority="73" aboveAverage="0" equalAverage="0" bottom="0" percent="0" rank="0" text="" dxfId="1">
      <formula>B159="no"</formula>
    </cfRule>
  </conditionalFormatting>
  <conditionalFormatting sqref="M169:N174">
    <cfRule type="expression" priority="74" aboveAverage="0" equalAverage="0" bottom="0" percent="0" rank="0" text="" dxfId="0">
      <formula>AND(ISNUMBER(M169),M169&gt;=0)</formula>
    </cfRule>
    <cfRule type="expression" priority="75" aboveAverage="0" equalAverage="0" bottom="0" percent="0" rank="0" text="" dxfId="1">
      <formula>AND(ISNUMBER(M169),M169&lt;0)</formula>
    </cfRule>
    <cfRule type="expression" priority="76" aboveAverage="0" equalAverage="0" bottom="0" percent="0" rank="0" text="" dxfId="0">
      <formula>M169="yes"</formula>
    </cfRule>
    <cfRule type="expression" priority="77" aboveAverage="0" equalAverage="0" bottom="0" percent="0" rank="0" text="" dxfId="1">
      <formula>M169="no"</formula>
    </cfRule>
  </conditionalFormatting>
  <conditionalFormatting sqref="B177:L182">
    <cfRule type="expression" priority="78" aboveAverage="0" equalAverage="0" bottom="0" percent="0" rank="0" text="" dxfId="0">
      <formula>AND(ISNUMBER(B177),B177&gt;=0)</formula>
    </cfRule>
    <cfRule type="expression" priority="79" aboveAverage="0" equalAverage="0" bottom="0" percent="0" rank="0" text="" dxfId="1">
      <formula>AND(ISNUMBER(B177),B177&lt;0)</formula>
    </cfRule>
    <cfRule type="expression" priority="80" aboveAverage="0" equalAverage="0" bottom="0" percent="0" rank="0" text="" dxfId="0">
      <formula>B177="yes"</formula>
    </cfRule>
    <cfRule type="expression" priority="81" aboveAverage="0" equalAverage="0" bottom="0" percent="0" rank="0" text="" dxfId="1">
      <formula>B177="no"</formula>
    </cfRule>
  </conditionalFormatting>
  <conditionalFormatting sqref="M187:N192">
    <cfRule type="expression" priority="82" aboveAverage="0" equalAverage="0" bottom="0" percent="0" rank="0" text="" dxfId="0">
      <formula>AND(ISNUMBER(M187),M187&gt;=0)</formula>
    </cfRule>
    <cfRule type="expression" priority="83" aboveAverage="0" equalAverage="0" bottom="0" percent="0" rank="0" text="" dxfId="1">
      <formula>AND(ISNUMBER(M187),M187&lt;0)</formula>
    </cfRule>
    <cfRule type="expression" priority="84" aboveAverage="0" equalAverage="0" bottom="0" percent="0" rank="0" text="" dxfId="0">
      <formula>M187="yes"</formula>
    </cfRule>
    <cfRule type="expression" priority="85" aboveAverage="0" equalAverage="0" bottom="0" percent="0" rank="0" text="" dxfId="1">
      <formula>M187="no"</formula>
    </cfRule>
  </conditionalFormatting>
  <conditionalFormatting sqref="B195:L200">
    <cfRule type="expression" priority="86" aboveAverage="0" equalAverage="0" bottom="0" percent="0" rank="0" text="" dxfId="0">
      <formula>AND(ISNUMBER(B195),B195&gt;=0)</formula>
    </cfRule>
    <cfRule type="expression" priority="87" aboveAverage="0" equalAverage="0" bottom="0" percent="0" rank="0" text="" dxfId="1">
      <formula>AND(ISNUMBER(B195),B195&lt;0)</formula>
    </cfRule>
    <cfRule type="expression" priority="88" aboveAverage="0" equalAverage="0" bottom="0" percent="0" rank="0" text="" dxfId="0">
      <formula>B195="yes"</formula>
    </cfRule>
    <cfRule type="expression" priority="89" aboveAverage="0" equalAverage="0" bottom="0" percent="0" rank="0" text="" dxfId="1">
      <formula>B195="no"</formula>
    </cfRule>
  </conditionalFormatting>
  <conditionalFormatting sqref="M205:N210">
    <cfRule type="expression" priority="90" aboveAverage="0" equalAverage="0" bottom="0" percent="0" rank="0" text="" dxfId="0">
      <formula>AND(ISNUMBER(M205),M205&gt;=0)</formula>
    </cfRule>
    <cfRule type="expression" priority="91" aboveAverage="0" equalAverage="0" bottom="0" percent="0" rank="0" text="" dxfId="1">
      <formula>AND(ISNUMBER(M205),M205&lt;0)</formula>
    </cfRule>
    <cfRule type="expression" priority="92" aboveAverage="0" equalAverage="0" bottom="0" percent="0" rank="0" text="" dxfId="0">
      <formula>M205="yes"</formula>
    </cfRule>
    <cfRule type="expression" priority="93" aboveAverage="0" equalAverage="0" bottom="0" percent="0" rank="0" text="" dxfId="1">
      <formula>M205="no"</formula>
    </cfRule>
  </conditionalFormatting>
  <conditionalFormatting sqref="B213:L218">
    <cfRule type="expression" priority="94" aboveAverage="0" equalAverage="0" bottom="0" percent="0" rank="0" text="" dxfId="0">
      <formula>AND(ISNUMBER(B213),B213&gt;=0)</formula>
    </cfRule>
    <cfRule type="expression" priority="95" aboveAverage="0" equalAverage="0" bottom="0" percent="0" rank="0" text="" dxfId="1">
      <formula>AND(ISNUMBER(B213),B213&lt;0)</formula>
    </cfRule>
    <cfRule type="expression" priority="96" aboveAverage="0" equalAverage="0" bottom="0" percent="0" rank="0" text="" dxfId="0">
      <formula>B213="yes"</formula>
    </cfRule>
    <cfRule type="expression" priority="97" aboveAverage="0" equalAverage="0" bottom="0" percent="0" rank="0" text="" dxfId="1">
      <formula>B213="no"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2026-10-12T08:50:57Z</dcterms:created>
  <dc:creator>openpyxl</dc:creator>
  <dc:description/>
  <dc:language>en-US</dc:language>
  <cp:lastModifiedBy/>
  <dcterms:modified xsi:type="dcterms:W3CDTF">2026-10-12T08:50:57Z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